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9d2e01743f4377" /></Relationships>
</file>

<file path=xl/workbook.xml><?xml version="1.0" encoding="utf-8"?>
<x:workbook xmlns:x="http://schemas.openxmlformats.org/spreadsheetml/2006/main">
  <x:sheets>
    <x:sheet xmlns:r="http://schemas.openxmlformats.org/officeDocument/2006/relationships" name="Chapter matrix" sheetId="1" r:id="Rec556d72d0dd49b4"/>
    <x:sheet xmlns:r="http://schemas.openxmlformats.org/officeDocument/2006/relationships" name="Edit queue" sheetId="2" r:id="R502566b0e1b040b2"/>
    <x:sheet xmlns:r="http://schemas.openxmlformats.org/officeDocument/2006/relationships" name="Evidence" sheetId="3" r:id="R8f491fa89af8468d"/>
    <x:sheet xmlns:r="http://schemas.openxmlformats.org/officeDocument/2006/relationships" name="Guide" sheetId="4" r:id="Rb76d2dfb9ee64466"/>
    <x:sheet xmlns:r="http://schemas.openxmlformats.org/officeDocument/2006/relationships" name="Passage review" sheetId="5" r:id="Rcf98b9419f844de9"/>
    <x:sheet xmlns:r="http://schemas.openxmlformats.org/officeDocument/2006/relationships" name="Argument tests" sheetId="6" r:id="R7e1e33fc3c324ef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quot;P&quot;0"/>
    <x:numFmt numFmtId="201" formatCode="0"/>
    <x:numFmt numFmtId="202" formatCode="mm/dd/yy"/>
  </x:numFmts>
  <x:fonts count="8">
    <x:font>
      <x:sz val="11"/>
      <x:name val="Carlito"/>
    </x:font>
    <x:font>
      <x:sz val="10"/>
      <x:color rgb="FF202B37"/>
      <x:name val="Arial"/>
    </x:font>
    <x:font>
      <x:b/>
      <x:sz val="16"/>
      <x:color rgb="FF263B53"/>
      <x:name val="Arial"/>
    </x:font>
    <x:font>
      <x:i/>
      <x:sz val="10"/>
      <x:color rgb="FF596B7D"/>
      <x:name val="Arial"/>
    </x:font>
    <x:font>
      <x:b/>
      <x:sz val="10"/>
      <x:color rgb="FFFFFFFF"/>
      <x:name val="Arial"/>
    </x:font>
    <x:font>
      <x:b/>
      <x:sz val="14"/>
      <x:color rgb="FF263B53"/>
      <x:name val="Arial"/>
    </x:font>
    <x:font>
      <x:b/>
      <x:sz val="10"/>
      <x:color rgb="FF202B37"/>
      <x:name val="Arial"/>
    </x:font>
    <x:font>
      <x:b/>
      <x:sz val="11"/>
      <x:color rgb="FF263B53"/>
      <x:name val="Arial"/>
    </x:font>
  </x:fonts>
  <x:fills count="10">
    <x:fill>
      <x:patternFill patternType="none"/>
    </x:fill>
    <x:fill>
      <x:patternFill patternType="gray125"/>
    </x:fill>
    <x:fill>
      <x:patternFill patternType="solid">
        <x:fgColor rgb="FF263B53"/>
      </x:patternFill>
    </x:fill>
    <x:fill>
      <x:patternFill patternType="solid">
        <x:fgColor rgb="FFFFF0C9"/>
      </x:patternFill>
    </x:fill>
    <x:fill>
      <x:patternFill patternType="solid">
        <x:fgColor rgb="FF263B53"/>
      </x:patternFill>
    </x:fill>
    <x:fill>
      <x:patternFill patternType="solid">
        <x:fgColor rgb="FFFFF0C9"/>
      </x:patternFill>
    </x:fill>
    <x:fill>
      <x:patternFill patternType="solid">
        <x:fgColor rgb="FFEEF3FA"/>
      </x:patternFill>
    </x:fill>
    <x:fill>
      <x:patternFill patternType="solid">
        <x:fgColor rgb="FF263B53"/>
      </x:patternFill>
    </x:fill>
    <x:fill>
      <x:patternFill patternType="solid">
        <x:fgColor rgb="FFE7EEF8"/>
      </x:patternFill>
    </x:fill>
    <x:fill>
      <x:patternFill patternType="solid">
        <x:fgColor rgb="FFEEF3FA"/>
      </x:patternFill>
    </x:fill>
  </x:fills>
  <x:borders count="4">
    <x:border/>
    <x:border>
      <x:right style="thin">
        <x:color rgb="FFFFFFFF"/>
      </x:right>
      <x:bottom style="thin">
        <x:color rgb="FFD9E0E7"/>
      </x:bottom>
    </x:border>
    <x:border>
      <x:left style="thin">
        <x:color rgb="FFFFFFFF"/>
      </x:left>
      <x:right style="thin">
        <x:color rgb="FFFFFFFF"/>
      </x:right>
      <x:bottom style="thin">
        <x:color rgb="FFD9E0E7"/>
      </x:bottom>
    </x:border>
    <x:border>
      <x:left style="thin">
        <x:color rgb="FFFFFFFF"/>
      </x:left>
      <x:bottom style="thin">
        <x:color rgb="FFD9E0E7"/>
      </x:bottom>
    </x:border>
  </x:borders>
  <x:cellStyleXfs count="1">
    <x:xf numFmtId="0" fontId="0" fillId="0" borderId="0"/>
  </x:cellStyleXfs>
  <x:cellXfs count="5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0" borderId="0" xfId="0" applyNumberFormat="1" applyFont="1" applyFill="1" applyBorder="1" applyAlignment="1">
      <x:alignment horizontal="left" vertical="center"/>
    </x:xf>
    <x:xf numFmtId="0" fontId="1" fillId="0" borderId="0" xfId="0" applyNumberFormat="1" applyFont="1" applyFill="1" applyBorder="1" applyAlignment="1">
      <x:alignment horizontal="center" vertical="center" wrapText="1"/>
    </x:xf>
    <x:xf numFmtId="201"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4"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7" fillId="0" borderId="0" xfId="0" applyNumberFormat="1" applyFont="1" applyFill="1" applyBorder="1"/>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4" fillId="7" borderId="1" xfId="0" applyNumberFormat="1" applyFont="1" applyFill="1" applyBorder="1" applyAlignment="1">
      <x:alignment horizontal="center" vertical="center" wrapText="1"/>
    </x:xf>
    <x:xf numFmtId="0" fontId="4" fillId="7" borderId="2" xfId="0" applyNumberFormat="1" applyFont="1" applyFill="1" applyBorder="1" applyAlignment="1">
      <x:alignment horizontal="center" vertical="center" wrapText="1"/>
    </x:xf>
    <x:xf numFmtId="0" fontId="4" fillId="7" borderId="3" xfId="0" applyNumberFormat="1" applyFont="1" applyFill="1" applyBorder="1" applyAlignment="1">
      <x:alignment horizontal="center"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horizontal="center" wrapText="1"/>
    </x:xf>
    <x:xf numFmtId="0" fontId="4" fillId="7"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8"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9" borderId="0" xfId="0" applyNumberFormat="1" applyFont="1" applyFill="1" applyBorder="1" applyAlignment="1">
      <x:alignment vertical="top" wrapText="1"/>
    </x:xf>
    <x:xf numFmtId="0" fontId="1" fillId="7" borderId="0" xfId="0" applyNumberFormat="1" applyFont="1" applyFill="1" applyBorder="1" applyAlignment="1">
      <x:alignment vertical="center"/>
    </x:xf>
    <x:xf numFmtId="0" fontId="4" fillId="7" borderId="0" xfId="0" applyNumberFormat="1" applyFont="1" applyFill="1" applyBorder="1" applyAlignment="1">
      <x:alignment vertical="center"/>
    </x:xf>
    <x:xf numFmtId="0" fontId="4" fillId="7" borderId="0" xfId="0" applyNumberFormat="1" applyFont="1" applyFill="1" applyBorder="1" applyAlignment="1">
      <x:alignment vertical="center" wrapText="1"/>
    </x:xf>
  </x:cellXfs>
  <x:cellStyles count="1">
    <x:cellStyle name="Normal" xfId="0"/>
  </x:cellStyles>
  <x:dxfs count="20">
    <x:dxf>
      <x:font>
        <x:color rgb="FF315C40"/>
      </x:font>
      <x:fill>
        <x:patternFill>
          <x:bgColor rgb="FFE4F0E8"/>
        </x:patternFill>
      </x:fill>
    </x:dxf>
    <x:dxf>
      <x:font>
        <x:b/>
        <x:color rgb="FF8C302B"/>
      </x:font>
      <x:fill>
        <x:patternFill>
          <x:bgColor rgb="FFFBE4E2"/>
        </x:patternFill>
      </x:fill>
    </x:dxf>
    <x:dxf>
      <x:font>
        <x:color rgb="FF755017"/>
      </x:font>
      <x:fill>
        <x:patternFill>
          <x:bgColor rgb="FFFFF0C9"/>
        </x:patternFill>
      </x:fill>
    </x:dxf>
    <x:dxf>
      <x:font>
        <x:color rgb="FF8C302B"/>
      </x:font>
      <x:fill>
        <x:patternFill>
          <x:bgColor rgb="FFFBE4E2"/>
        </x:patternFill>
      </x:fill>
    </x:dxf>
    <x:dxf>
      <x:font>
        <x:color rgb="FF755017"/>
      </x:font>
      <x:fill>
        <x:patternFill>
          <x:bgColor rgb="FFFFF0C9"/>
        </x:patternFill>
      </x:fill>
    </x:dxf>
    <x:dxf>
      <x:font>
        <x:color rgb="FF365B81"/>
      </x:font>
      <x:fill>
        <x:patternFill>
          <x:bgColor rgb="FFE7EEF8"/>
        </x:patternFill>
      </x:fill>
    </x:dxf>
    <x:dxf>
      <x:font>
        <x:color rgb="FF315C40"/>
      </x:font>
      <x:fill>
        <x:patternFill>
          <x:bgColor rgb="FFE4F0E8"/>
        </x:patternFill>
      </x:fill>
    </x:dxf>
    <x:dxf>
      <x:font>
        <x:color rgb="FF78838D"/>
      </x:font>
      <x:fill>
        <x:patternFill>
          <x:bgColor rgb="FFF4F5F6"/>
        </x:patternFill>
      </x:fill>
    </x:dxf>
    <x:dxf>
      <x:font>
        <x:b/>
        <x:color rgb="FF8C302B"/>
      </x:font>
      <x:fill>
        <x:patternFill>
          <x:bgColor rgb="FFFBE4E2"/>
        </x:patternFill>
      </x:fill>
    </x:dxf>
    <x:dxf>
      <x:font>
        <x:color rgb="FF755017"/>
      </x:font>
      <x:fill>
        <x:patternFill>
          <x:bgColor rgb="FFFFF0C9"/>
        </x:patternFill>
      </x:fill>
    </x:dxf>
    <x:dxf>
      <x:font>
        <x:color rgb="FF8C302B"/>
      </x:font>
      <x:fill>
        <x:patternFill>
          <x:bgColor rgb="FFFBE4E2"/>
        </x:patternFill>
      </x:fill>
    </x:dxf>
    <x:dxf>
      <x:font>
        <x:color rgb="FF755017"/>
      </x:font>
      <x:fill>
        <x:patternFill>
          <x:bgColor rgb="FFFFF0C9"/>
        </x:patternFill>
      </x:fill>
    </x:dxf>
    <x:dxf>
      <x:font>
        <x:color rgb="FF365B81"/>
      </x:font>
      <x:fill>
        <x:patternFill>
          <x:bgColor rgb="FFE7EEF8"/>
        </x:patternFill>
      </x:fill>
    </x:dxf>
    <x:dxf>
      <x:font>
        <x:color rgb="FF315C40"/>
      </x:font>
      <x:fill>
        <x:patternFill>
          <x:bgColor rgb="FFE4F0E8"/>
        </x:patternFill>
      </x:fill>
    </x:dxf>
    <x:dxf>
      <x:font>
        <x:color rgb="FF78838D"/>
      </x:font>
      <x:fill>
        <x:patternFill>
          <x:bgColor rgb="FFF4F5F6"/>
        </x:patternFill>
      </x:fill>
    </x:dxf>
    <x:dxf>
      <x:font>
        <x:b/>
        <x:color rgb="FF8C302B"/>
      </x:font>
      <x:fill>
        <x:patternFill>
          <x:bgColor rgb="FFFBE4E2"/>
        </x:patternFill>
      </x:fill>
    </x:dxf>
    <x:dxf>
      <x:font>
        <x:color rgb="FF755017"/>
      </x:font>
      <x:fill>
        <x:patternFill>
          <x:bgColor rgb="FFFFF0C9"/>
        </x:patternFill>
      </x:fill>
    </x:dxf>
    <x:dxf>
      <x:font>
        <x:b/>
        <x:color rgb="FF8C302B"/>
      </x:font>
      <x:fill>
        <x:patternFill>
          <x:bgColor rgb="FFFBE4E2"/>
        </x:patternFill>
      </x:fill>
    </x:dxf>
    <x:dxf>
      <x:font>
        <x:color rgb="FF755017"/>
      </x:font>
      <x:fill>
        <x:patternFill>
          <x:bgColor rgb="FFFFF0C9"/>
        </x:patternFill>
      </x:fill>
    </x:dxf>
    <x:dxf>
      <x:font>
        <x:color rgb="FF315C40"/>
      </x:font>
      <x:fill>
        <x:patternFill>
          <x:bgColor rgb="FFE4F0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0c31b1bf8f438b" /><Relationship Type="http://schemas.openxmlformats.org/officeDocument/2006/relationships/theme" Target="/xl/theme/theme1.xml" Id="Rbaf0aaa43f864d2b" /><Relationship Type="http://schemas.openxmlformats.org/officeDocument/2006/relationships/sharedStrings" Target="/xl/sharedStrings.xml" Id="R5b89a17020d84833" /><Relationship Type="http://schemas.openxmlformats.org/officeDocument/2006/relationships/worksheet" Target="/xl/worksheets/sheet1.xml" Id="Rec556d72d0dd49b4" /><Relationship Type="http://schemas.openxmlformats.org/officeDocument/2006/relationships/worksheet" Target="/xl/worksheets/sheet2.xml" Id="R502566b0e1b040b2" /><Relationship Type="http://schemas.openxmlformats.org/officeDocument/2006/relationships/worksheet" Target="/xl/worksheets/sheet3.xml" Id="R8f491fa89af8468d" /><Relationship Type="http://schemas.openxmlformats.org/officeDocument/2006/relationships/worksheet" Target="/xl/worksheets/sheet4.xml" Id="Rb76d2dfb9ee64466" /><Relationship Type="http://schemas.openxmlformats.org/officeDocument/2006/relationships/worksheet" Target="/xl/worksheets/sheet5.xml" Id="Rcf98b9419f844de9" /><Relationship Type="http://schemas.openxmlformats.org/officeDocument/2006/relationships/worksheet" Target="/xl/worksheets/sheet6.xml" Id="R7e1e33fc3c324ef0" /></Relationships>
</file>

<file path=xl/tables/table1.xml><?xml version="1.0" encoding="utf-8"?>
<x:table xmlns:x="http://schemas.openxmlformats.org/spreadsheetml/2006/main" id="8" name="SectionMatrix" displayName="SectionMatrix" ref="A8:Q39" headerRowCount="1" totalsRowCount="0" totalsRowShown="0">
  <x:autoFilter ref="A8:Q39"/>
  <x:tableColumns count="17">
    <x:tableColumn id="1" name="Section ID"/>
    <x:tableColumn id="2" name="Original section title"/>
    <x:tableColumn id="3" name="PDF pages"/>
    <x:tableColumn id="4" name="Priority"/>
    <x:tableColumn id="5" name="Preserve"/>
    <x:tableColumn id="6" name="First editing move"/>
    <x:tableColumn id="7" name="Edit IDs"/>
    <x:tableColumn id="8" name="Hope"/>
    <x:tableColumn id="9" name="Forecasts"/>
    <x:tableColumn id="10" name="People"/>
    <x:tableColumn id="11" name="Access"/>
    <x:tableColumn id="12" name="Practice"/>
    <x:tableColumn id="13" name="History"/>
    <x:tableColumn id="14" name="Coherence"/>
    <x:tableColumn id="15" name="Evidence"/>
    <x:tableColumn id="16" name="Role in the mission"/>
    <x:tableColumn id="17" name="Collective / specialist boundary"/>
  </x:tableColumns>
  <x:tableStyleInfo name="TableStyleLight1" showFirstColumn="0" showLastColumn="0" showRowStripes="1" showColumnStripes="0"/>
</x:table>
</file>

<file path=xl/tables/table2.xml><?xml version="1.0" encoding="utf-8"?>
<x:table xmlns:x="http://schemas.openxmlformats.org/spreadsheetml/2006/main" id="7" name="EditingRecommendations" displayName="EditingRecommendations" ref="A8:P53" headerRowCount="1" totalsRowCount="0" totalsRowShown="0">
  <x:autoFilter ref="A8:P53"/>
  <x:tableColumns count="16">
    <x:tableColumn id="1" name="ID"/>
    <x:tableColumn id="2" name="Priority"/>
    <x:tableColumn id="3" name="Editing recommendation"/>
    <x:tableColumn id="4" name="PDF pages"/>
    <x:tableColumn id="5" name="Proposed change"/>
    <x:tableColumn id="6" name="Completion test"/>
    <x:tableColumn id="7" name="Author decision"/>
    <x:tableColumn id="8" name="Your notes"/>
    <x:tableColumn id="9" name="Issue in the original PDF"/>
    <x:tableColumn id="10" name="Affected sections"/>
    <x:tableColumn id="11" name="Criteria"/>
    <x:tableColumn id="12" name="Earlier finding IDs"/>
    <x:tableColumn id="13" name="Source IDs"/>
    <x:tableColumn id="14" name="Suggested wording"/>
    <x:tableColumn id="15" name="Scope disposition"/>
    <x:tableColumn id="16" name="Responsibility / further work"/>
  </x:tableColumns>
  <x:tableStyleInfo name="TableStyleLight1" showFirstColumn="0" showLastColumn="0" showRowStripes="1" showColumnStripes="0"/>
</x:table>
</file>

<file path=xl/tables/table3.xml><?xml version="1.0" encoding="utf-8"?>
<x:table xmlns:x="http://schemas.openxmlformats.org/spreadsheetml/2006/main" id="3" name="PassageAnchors" displayName="PassageAnchors" ref="A8:D199" headerRowCount="1" totalsRowCount="0" totalsRowShown="0">
  <x:autoFilter ref="A8:D199"/>
  <x:tableColumns count="4">
    <x:tableColumn id="1" name="Edit ID"/>
    <x:tableColumn id="2" name="PDF page"/>
    <x:tableColumn id="3" name="Exact search anchor in the original"/>
    <x:tableColumn id="4" name="Earlier audit reference"/>
  </x:tableColumns>
  <x:tableStyleInfo name="TableStyleLight1" showFirstColumn="0" showLastColumn="0" showRowStripes="1" showColumnStripes="0"/>
</x:table>
</file>

<file path=xl/tables/table4.xml><?xml version="1.0" encoding="utf-8"?>
<x:table xmlns:x="http://schemas.openxmlformats.org/spreadsheetml/2006/main" id="4" name="ResearchSources" displayName="ResearchSources" ref="A204:D232" headerRowCount="1" totalsRowCount="0" totalsRowShown="0">
  <x:autoFilter ref="A204:D232"/>
  <x:tableColumns count="4">
    <x:tableColumn id="1" name="Source ID"/>
    <x:tableColumn id="2" name="Checked"/>
    <x:tableColumn id="3" name="Title and source URL"/>
    <x:tableColumn id="4" name="Scope supported"/>
  </x:tableColumns>
  <x:tableStyleInfo name="TableStyleLight1" showFirstColumn="0" showLastColumn="0" showRowStripes="1" showColumnStripes="0"/>
</x:table>
</file>

<file path=xl/tables/table5.xml><?xml version="1.0" encoding="utf-8"?>
<x:table xmlns:x="http://schemas.openxmlformats.org/spreadsheetml/2006/main" id="9" name="DetailedPassageReview" displayName="DetailedPassageReview" ref="A8:Q163" headerRowCount="1" totalsRowCount="0" totalsRowShown="0">
  <x:autoFilter ref="A8:Q163"/>
  <x:tableColumns count="17">
    <x:tableColumn id="1" name="ID"/>
    <x:tableColumn id="2" name="Parent edit"/>
    <x:tableColumn id="3" name="Priority"/>
    <x:tableColumn id="4" name="PDF page"/>
    <x:tableColumn id="5" name="Specific issue"/>
    <x:tableColumn id="6" name="Exact source anchor¹"/>
    <x:tableColumn id="7" name="Why it matters"/>
    <x:tableColumn id="8" name="Recommended operation"/>
    <x:tableColumn id="9" name="Proposed wording / treatment"/>
    <x:tableColumn id="10" name="Preserve"/>
    <x:tableColumn id="11" name="Dependent passages / decisions"/>
    <x:tableColumn id="12" name="Completion test"/>
    <x:tableColumn id="13" name="Evidence and research status"/>
    <x:tableColumn id="14" name="Author decision"/>
    <x:tableColumn id="15" name="Your notes"/>
    <x:tableColumn id="16" name="Scope disposition"/>
    <x:tableColumn id="17" name="Responsibility / further work"/>
  </x:tableColumns>
  <x:tableStyleInfo name="TableStyleLight1" showFirstColumn="0" showLastColumn="0" showRowStripes="1" showColumnStripes="0"/>
</x:table>
</file>

<file path=xl/tables/table6.xml><?xml version="1.0" encoding="utf-8"?>
<x:table xmlns:x="http://schemas.openxmlformats.org/spreadsheetml/2006/main" id="10" name="CrossChapterArgumentTests" displayName="CrossChapterArgumentTests" ref="A8:H28" headerRowCount="1" totalsRowCount="0" totalsRowShown="0">
  <x:autoFilter ref="A8:H28"/>
  <x:tableColumns count="8">
    <x:tableColumn id="1" name="Test ID"/>
    <x:tableColumn id="2" name="Argument being made"/>
    <x:tableColumn id="3" name="Missing step / conflict"/>
    <x:tableColumn id="4" name="Original PDF anchors or scope"/>
    <x:tableColumn id="5" name="Counterexample to test"/>
    <x:tableColumn id="6" name="Repair to the argument"/>
    <x:tableColumn id="7" name="What should change the view or plan?"/>
    <x:tableColumn id="8" name="Parent edit / author direc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e8a02a15584d92" /></Relationships>
</file>

<file path=xl/worksheets/_rels/sheet2.xml.rels>&#65279;<?xml version="1.0" encoding="utf-8"?><Relationships xmlns="http://schemas.openxmlformats.org/package/2006/relationships"><Relationship Type="http://schemas.openxmlformats.org/officeDocument/2006/relationships/table" Target="/xl/tables/table2.xml" Id="R91fbb1f6cc664b78" /></Relationships>
</file>

<file path=xl/worksheets/_rels/sheet3.xml.rels>&#65279;<?xml version="1.0" encoding="utf-8"?><Relationships xmlns="http://schemas.openxmlformats.org/package/2006/relationships"><Relationship Type="http://schemas.openxmlformats.org/officeDocument/2006/relationships/table" Target="/xl/tables/table3.xml" Id="R4319deb5fa6c46f6" /><Relationship Type="http://schemas.openxmlformats.org/officeDocument/2006/relationships/table" Target="/xl/tables/table4.xml" Id="Ra689b14363424831" /></Relationships>
</file>

<file path=xl/worksheets/_rels/sheet5.xml.rels>&#65279;<?xml version="1.0" encoding="utf-8"?><Relationships xmlns="http://schemas.openxmlformats.org/package/2006/relationships"><Relationship Type="http://schemas.openxmlformats.org/officeDocument/2006/relationships/table" Target="/xl/tables/table5.xml" Id="R52e24deb115a4cf3" /></Relationships>
</file>

<file path=xl/worksheets/_rels/sheet6.xml.rels>&#65279;<?xml version="1.0" encoding="utf-8"?><Relationships xmlns="http://schemas.openxmlformats.org/package/2006/relationships"><Relationship Type="http://schemas.openxmlformats.org/officeDocument/2006/relationships/table" Target="/xl/tables/table6.xml" Id="R5fdbb42915e649fb" /></Relationships>
</file>

<file path=xl/worksheets/sheet1.xml><?xml version="1.0" encoding="utf-8"?>
<x:worksheet xmlns:x="http://schemas.openxmlformats.org/spreadsheetml/2006/main">
  <x:sheetPr>
    <x:tabColor rgb="FF263B53"/>
  </x:sheetPr>
  <x:sheetViews>
    <x:sheetView showGridLines="0" workbookViewId="0">
      <x:pane xSplit="3" ySplit="8" topLeftCell="D9" activePane="bottomRight" state="frozen"/>
    </x:sheetView>
  </x:sheetViews>
  <x:sheetFormatPr defaultRowHeight="15"/>
  <x:cols>
    <x:col min="1" max="1" width="13.890000343322754" hidden="0" customWidth="1"/>
    <x:col min="2" max="2" width="30" hidden="0" customWidth="1"/>
    <x:col min="3" max="3" width="8.4399995803833" hidden="0" customWidth="1"/>
    <x:col min="4" max="4" width="7.110000133514404" hidden="0" customWidth="1"/>
    <x:col min="5" max="5" width="37.779998779296875" hidden="0" customWidth="1"/>
    <x:col min="6" max="6" width="55.560001373291016" hidden="0" customWidth="1"/>
    <x:col min="7" max="7" width="18.889999389648438" hidden="0" customWidth="1"/>
    <x:col min="8" max="8" width="10.4399995803833" hidden="0" customWidth="1"/>
    <x:col min="9" max="9" width="10.4399995803833" hidden="0" customWidth="1"/>
    <x:col min="10" max="10" width="10.4399995803833" hidden="0" customWidth="1"/>
    <x:col min="11" max="11" width="10.4399995803833" hidden="0" customWidth="1"/>
    <x:col min="12" max="12" width="10.4399995803833" hidden="0" customWidth="1"/>
    <x:col min="13" max="13" width="10.4399995803833" hidden="0" customWidth="1"/>
    <x:col min="14" max="14" width="10.4399995803833" hidden="0" customWidth="1"/>
    <x:col min="15" max="15" width="10.4399995803833" hidden="0" customWidth="1"/>
    <x:col min="16" max="16" width="26.110000610351562" hidden="0" customWidth="1"/>
    <x:col min="17" max="17" width="43.88999938964844" hidden="0" customWidth="1"/>
  </x:cols>
  <x:sheetData>
    <x:row r="1" ht="18" customHeight="1">
      <x:c r="A1" s="2"/>
      <x:c r="B1" s="2"/>
      <x:c r="C1" s="2"/>
      <x:c r="D1" s="2"/>
      <x:c r="E1" s="2"/>
      <x:c r="F1" s="2"/>
      <x:c r="G1" s="2"/>
      <x:c r="H1" s="2"/>
      <x:c r="I1" s="2"/>
      <x:c r="J1" s="2"/>
      <x:c r="K1" s="2"/>
      <x:c r="L1" s="2"/>
      <x:c r="M1" s="2"/>
      <x:c r="N1" s="2"/>
      <x:c r="O1" s="2"/>
    </x:row>
    <x:row r="2" ht="27" customHeight="1">
      <x:c r="A2" s="3" t="str">
        <x:v>Surviving the Singularity: editing matrix</x:v>
      </x:c>
      <x:c r="B2" s="2"/>
      <x:c r="C2" s="2"/>
      <x:c r="D2" s="2"/>
      <x:c r="E2" s="2"/>
      <x:c r="F2" s="2"/>
      <x:c r="G2" s="2"/>
      <x:c r="H2" s="2"/>
      <x:c r="I2" s="2"/>
      <x:c r="J2" s="2"/>
      <x:c r="K2" s="2"/>
      <x:c r="L2" s="2"/>
      <x:c r="M2" s="2"/>
      <x:c r="N2" s="2"/>
      <x:c r="O2" s="2"/>
    </x:row>
    <x:row r="3" ht="18" customHeight="1">
      <x:c r="A3" s="4" t="str">
        <x:v>Original v0.7.4 | 289 pages | Food-first scope review: September 21, 2026 | All 31 sections assessed; no prose rewrite applied.</x:v>
      </x:c>
      <x:c r="B3" s="2"/>
      <x:c r="C3" s="2"/>
      <x:c r="D3" s="2"/>
      <x:c r="E3" s="2"/>
      <x:c r="F3" s="2"/>
      <x:c r="G3" s="2"/>
      <x:c r="H3" s="2"/>
      <x:c r="I3" s="2"/>
      <x:c r="J3" s="2"/>
      <x:c r="K3" s="2"/>
      <x:c r="L3" s="2"/>
      <x:c r="M3" s="2"/>
      <x:c r="N3" s="2"/>
      <x:c r="O3" s="2"/>
    </x:row>
    <x:row r="4" ht="18" customHeight="1">
      <x:c r="A4" s="2"/>
      <x:c r="B4" s="2"/>
      <x:c r="C4" s="2"/>
      <x:c r="D4" s="2"/>
      <x:c r="E4" s="2"/>
      <x:c r="F4" s="2"/>
      <x:c r="G4" s="2"/>
      <x:c r="H4" s="2"/>
      <x:c r="I4" s="2"/>
      <x:c r="J4" s="2"/>
      <x:c r="K4" s="2"/>
      <x:c r="L4" s="2"/>
      <x:c r="M4" s="2"/>
      <x:c r="N4" s="2"/>
      <x:c r="O4" s="2"/>
    </x:row>
    <x:row r="5" ht="18" customHeight="1">
      <x:c r="A5" s="2" t="str">
        <x:v>Edit items</x:v>
      </x:c>
      <x:c r="B5" s="16" t="n">
        <x:f>'Edit queue'!B5</x:f>
        <x:v>45</x:v>
      </x:c>
      <x:c r="C5" s="2" t="str">
        <x:v>P0 items</x:v>
      </x:c>
      <x:c r="D5" s="16" t="n">
        <x:f>COUNTIF('Edit queue'!$B$9:$B$53,0)</x:f>
        <x:v>5</x:v>
      </x:c>
      <x:c r="E5" s="2" t="str">
        <x:v>Unreviewed decisions</x:v>
      </x:c>
      <x:c r="F5" s="16" t="n">
        <x:f>'Edit queue'!D5</x:f>
        <x:v>45</x:v>
      </x:c>
      <x:c r="G5" s="2"/>
      <x:c r="H5" s="2"/>
      <x:c r="I5" s="2"/>
      <x:c r="J5" s="2"/>
      <x:c r="K5" s="2"/>
      <x:c r="L5" s="2"/>
      <x:c r="M5" s="2"/>
      <x:c r="N5" s="2"/>
      <x:c r="O5" s="2"/>
    </x:row>
    <x:row r="6" ht="18" customHeight="1">
      <x:c r="A6" s="2" t="str">
        <x:v>Food → other land management → trash cleanup → shelter → further applications. Filter by section; use linked parent edits and the responsibility columns.</x:v>
      </x:c>
      <x:c r="B6" s="2"/>
      <x:c r="C6" s="2"/>
      <x:c r="D6" s="2"/>
      <x:c r="E6" s="2"/>
      <x:c r="F6" s="2"/>
      <x:c r="G6" s="2"/>
      <x:c r="H6" s="2"/>
      <x:c r="I6" s="2"/>
      <x:c r="J6" s="2"/>
      <x:c r="K6" s="2"/>
      <x:c r="L6" s="2"/>
      <x:c r="M6" s="2"/>
      <x:c r="N6" s="2"/>
      <x:c r="O6" s="2"/>
    </x:row>
    <x:row r="7" ht="18" customHeight="1">
      <x:c r="A7" s="2"/>
      <x:c r="B7" s="2"/>
      <x:c r="C7" s="2"/>
      <x:c r="D7" s="2"/>
      <x:c r="E7" s="2"/>
      <x:c r="F7" s="2"/>
      <x:c r="G7" s="2"/>
      <x:c r="H7" s="2"/>
      <x:c r="I7" s="2"/>
      <x:c r="J7" s="2"/>
      <x:c r="K7" s="2"/>
      <x:c r="L7" s="2"/>
      <x:c r="M7" s="2"/>
      <x:c r="N7" s="2"/>
      <x:c r="O7" s="2"/>
    </x:row>
    <x:row r="8" ht="31.5" customHeight="1">
      <x:c r="A8" s="43" t="str">
        <x:v>Section ID</x:v>
      </x:c>
      <x:c r="B8" s="44" t="str">
        <x:v>Original section title</x:v>
      </x:c>
      <x:c r="C8" s="44" t="str">
        <x:v>PDF pages</x:v>
      </x:c>
      <x:c r="D8" s="44" t="str">
        <x:v>Priority</x:v>
      </x:c>
      <x:c r="E8" s="44" t="str">
        <x:v>Preserve</x:v>
      </x:c>
      <x:c r="F8" s="44" t="str">
        <x:v>First editing move</x:v>
      </x:c>
      <x:c r="G8" s="44" t="str">
        <x:v>Edit IDs</x:v>
      </x:c>
      <x:c r="H8" s="44" t="str">
        <x:v>Hope</x:v>
      </x:c>
      <x:c r="I8" s="44" t="str">
        <x:v>Forecasts</x:v>
      </x:c>
      <x:c r="J8" s="44" t="str">
        <x:v>People</x:v>
      </x:c>
      <x:c r="K8" s="44" t="str">
        <x:v>Access</x:v>
      </x:c>
      <x:c r="L8" s="44" t="str">
        <x:v>Practice</x:v>
      </x:c>
      <x:c r="M8" s="44" t="str">
        <x:v>History</x:v>
      </x:c>
      <x:c r="N8" s="44" t="str">
        <x:v>Coherence</x:v>
      </x:c>
      <x:c r="O8" s="45" t="str">
        <x:v>Evidence</x:v>
      </x:c>
      <x:c r="P8" s="50" t="str">
        <x:v>Role in the mission</x:v>
      </x:c>
      <x:c r="Q8" s="50" t="str">
        <x:v>Collective / specialist boundary</x:v>
      </x:c>
    </x:row>
    <x:row r="9" ht="109.5" customHeight="1">
      <x:c r="A9" s="13" t="str">
        <x:v>frontmatter</x:v>
      </x:c>
      <x:c r="B9" s="13" t="str">
        <x:v>Cover and contents</x:v>
      </x:c>
      <x:c r="C9" s="13" t="str">
        <x:v>1-2</x:v>
      </x:c>
      <x:c r="D9" s="15" t="n">
        <x:f>MIN('Edit queue'!B41,'Edit queue'!B46,'Edit queue'!B50)</x:f>
        <x:v>2</x:v>
      </x:c>
      <x:c r="E9" s="13" t="str">
        <x:v>The existing chapter sequence and recognizable edition identity.</x:v>
      </x:c>
      <x:c r="F9" s="13" t="str">
        <x:v>Keep the approved Chapter 11 title; bring contents, edition information and any scope blurb into agreement with the food-first purpose.</x:v>
      </x:c>
      <x:c r="G9" s="13" t="str">
        <x:v>E33, E38, E42</x:v>
      </x:c>
      <x:c r="H9" s="53" t="str">
        <x:v>n.a.</x:v>
      </x:c>
      <x:c r="I9" s="53" t="str">
        <x:v>n.a.</x:v>
      </x:c>
      <x:c r="J9" s="53" t="str">
        <x:v>n.a.</x:v>
      </x:c>
      <x:c r="K9" s="53" t="str">
        <x:v>n.a.</x:v>
      </x:c>
      <x:c r="L9" s="53" t="str">
        <x:v>n.a.</x:v>
      </x:c>
      <x:c r="M9" s="53" t="str">
        <x:v>n.a.</x:v>
      </x:c>
      <x:c r="N9" s="53" t="str">
        <x:v>Conflict</x:v>
      </x:c>
      <x:c r="O9" s="53" t="str">
        <x:v>Verify</x:v>
      </x:c>
      <x:c r="P9" s="52" t="str">
        <x:v>Orient the reader</x:v>
      </x:c>
      <x:c r="Q9" s="52" t="str">
        <x:v>Production source and final proof remain separate work.</x:v>
      </x:c>
    </x:row>
    <x:row r="10" ht="109.5" customHeight="1">
      <x:c r="A10" s="13" t="str">
        <x:v>introduction</x:v>
      </x:c>
      <x:c r="B10" s="13" t="str">
        <x:v>INTRODUCTION: The Uncompromising Truth</x:v>
      </x:c>
      <x:c r="C10" s="13" t="str">
        <x:v>3-9</x:v>
      </x:c>
      <x:c r="D10" s="15" t="n">
        <x:f>MIN('Edit queue'!B9,'Edit queue'!B10,'Edit queue'!B11,'Edit queue'!B15,'Edit queue'!B25,'Edit queue'!B45,'Edit queue'!B49,'Edit queue'!B51,'Edit queue'!B53)</x:f>
        <x:v>1</x:v>
      </x:c>
      <x:c r="E10" s="13" t="str">
        <x:v>The concrete question about renting survival and helping neighbors.</x:v>
      </x:c>
      <x:c r="F10" s="13" t="str">
        <x:v>Add the mission order and an accessible talk/try/adapt route. Keep the personal AGI date separate from promised help already available.</x:v>
      </x:c>
      <x:c r="G10" s="13" t="str">
        <x:v>E01, E02, E03, E07, E17, E37, E41, E43, E45</x:v>
      </x:c>
      <x:c r="H10" s="53" t="str">
        <x:v>Develop</x:v>
      </x:c>
      <x:c r="I10" s="53" t="str">
        <x:v>Conflict</x:v>
      </x:c>
      <x:c r="J10" s="53" t="str">
        <x:v>Develop</x:v>
      </x:c>
      <x:c r="K10" s="53" t="str">
        <x:v>Develop</x:v>
      </x:c>
      <x:c r="L10" s="53" t="str">
        <x:v>Develop</x:v>
      </x:c>
      <x:c r="M10" s="53" t="str">
        <x:v>Develop</x:v>
      </x:c>
      <x:c r="N10" s="53" t="str">
        <x:v>Conflict</x:v>
      </x:c>
      <x:c r="O10" s="53" t="str">
        <x:v>Verify</x:v>
      </x:c>
      <x:c r="P10" s="52" t="str">
        <x:v>State the practical mission</x:v>
      </x:c>
      <x:c r="Q10" s="52" t="str">
        <x:v>Governance, food safety and cybersecurity are collective work, not entry requirements for the reader.</x:v>
      </x:c>
    </x:row>
    <x:row r="11" ht="109.5" customHeight="1">
      <x:c r="A11" s="13" t="str">
        <x:v>preface</x:v>
      </x:c>
      <x:c r="B11" s="13" t="str">
        <x:v>PREFACE: Welcome to the Weirdness</x:v>
      </x:c>
      <x:c r="C11" s="13" t="str">
        <x:v>10-13</x:v>
      </x:c>
      <x:c r="D11" s="15" t="n">
        <x:f>MIN('Edit queue'!B11,'Edit queue'!B43,'Edit queue'!B53)</x:f>
        <x:v>1</x:v>
      </x:c>
      <x:c r="E11" s="13" t="str">
        <x:v>The invitation to consider futures beyond catastrophe.</x:v>
      </x:c>
      <x:c r="F11" s="13" t="str">
        <x:v>Keep the invitation beyond catastrophe; replace mind-control absolutes with a practical invitation to learn with others.</x:v>
      </x:c>
      <x:c r="G11" s="13" t="str">
        <x:v>E03, E35, E45</x:v>
      </x:c>
      <x:c r="H11" s="53" t="str">
        <x:v>Develop</x:v>
      </x:c>
      <x:c r="I11" s="53" t="str">
        <x:v>Develop</x:v>
      </x:c>
      <x:c r="J11" s="53" t="str">
        <x:v>Conflict</x:v>
      </x:c>
      <x:c r="K11" s="53" t="str">
        <x:v>Develop</x:v>
      </x:c>
      <x:c r="L11" s="53" t="str">
        <x:v>Develop</x:v>
      </x:c>
      <x:c r="M11" s="53" t="str">
        <x:v>Conflict</x:v>
      </x:c>
      <x:c r="N11" s="53" t="str">
        <x:v>n.a.</x:v>
      </x:c>
      <x:c r="O11" s="53" t="str">
        <x:v>Verify</x:v>
      </x:c>
      <x:c r="P11" s="52" t="str">
        <x:v>Invite curiosity and agency</x:v>
      </x:c>
      <x:c r="Q11" s="52" t="str">
        <x:v>No reader must personally master all the systems.</x:v>
      </x:c>
    </x:row>
    <x:row r="12" ht="109.5" customHeight="1">
      <x:c r="A12" s="13" t="str">
        <x:v>chapter-00</x:v>
      </x:c>
      <x:c r="B12" s="13" t="str">
        <x:v>Chapter 0: The Demonstration</x:v>
      </x:c>
      <x:c r="C12" s="13" t="str">
        <x:v>14-22</x:v>
      </x:c>
      <x:c r="D12" s="15" t="n">
        <x:f>MIN('Edit queue'!B40,'Edit queue'!B43)</x:f>
        <x:v>1</x:v>
      </x:c>
      <x:c r="E12" s="13" t="str">
        <x:v>Elijah, the bar, the toast and the madrone motif.</x:v>
      </x:c>
      <x:c r="F12" s="13" t="str">
        <x:v>Keep Elijah, the bar, toast and madrone. Reconcile the calendar and bound the Bell analogy; let the scene raise a question rather than prove an inevitable future.</x:v>
      </x:c>
      <x:c r="G12" s="13" t="str">
        <x:v>E32, E35</x:v>
      </x:c>
      <x:c r="H12" s="53" t="str">
        <x:v>Retain</x:v>
      </x:c>
      <x:c r="I12" s="53" t="str">
        <x:v>n.a.</x:v>
      </x:c>
      <x:c r="J12" s="53" t="str">
        <x:v>Retain</x:v>
      </x:c>
      <x:c r="K12" s="53" t="str">
        <x:v>n.a.</x:v>
      </x:c>
      <x:c r="L12" s="53" t="str">
        <x:v>Develop</x:v>
      </x:c>
      <x:c r="M12" s="53" t="str">
        <x:v>Verify</x:v>
      </x:c>
      <x:c r="N12" s="53" t="str">
        <x:v>Conflict</x:v>
      </x:c>
      <x:c r="O12" s="53" t="str">
        <x:v>Verify</x:v>
      </x:c>
      <x:c r="P12" s="52" t="str">
        <x:v>Preserve the narrative hook</x:v>
      </x:c>
      <x:c r="Q12" s="52" t="str">
        <x:v>Fiction introduces stakes, not operational evidence.</x:v>
      </x:c>
    </x:row>
    <x:row r="13" ht="109.5" customHeight="1">
      <x:c r="A13" s="13" t="str">
        <x:v>part-i</x:v>
      </x:c>
      <x:c r="B13" s="13" t="str">
        <x:v>Part I: What is the Singularity?</x:v>
      </x:c>
      <x:c r="C13" s="13" t="str">
        <x:v>23-23</x:v>
      </x:c>
      <x:c r="D13" s="15" t="n">
        <x:f>MIN('Edit queue'!B10,'Edit queue'!B47,'Edit queue'!B52,'Edit queue'!B53)</x:f>
        <x:v>1</x:v>
      </x:c>
      <x:c r="E13" s="13" t="str">
        <x:v>A distinct space for explaining the technological horizon.</x:v>
      </x:c>
      <x:c r="F13" s="13" t="str">
        <x:v>On page 23, replace what actually happened with a conditional framework. Orient the reader to the difference between current capabilities and possible stages.</x:v>
      </x:c>
      <x:c r="G13" s="13" t="str">
        <x:v>E02, E39, E44, E45</x:v>
      </x:c>
      <x:c r="H13" s="53" t="str">
        <x:v>Develop</x:v>
      </x:c>
      <x:c r="I13" s="53" t="str">
        <x:v>Develop</x:v>
      </x:c>
      <x:c r="J13" s="53" t="str">
        <x:v>n.a.</x:v>
      </x:c>
      <x:c r="K13" s="53" t="str">
        <x:v>n.a.</x:v>
      </x:c>
      <x:c r="L13" s="53" t="str">
        <x:v>Develop</x:v>
      </x:c>
      <x:c r="M13" s="53" t="str">
        <x:v>n.a.</x:v>
      </x:c>
      <x:c r="N13" s="53" t="str">
        <x:v>Develop</x:v>
      </x:c>
      <x:c r="O13" s="53" t="str">
        <x:v>n.a.</x:v>
      </x:c>
      <x:c r="P13" s="52" t="str">
        <x:v>Distinguish explanation from scenario</x:v>
      </x:c>
      <x:c r="Q13" s="52" t="str">
        <x:v>The author proposes a horizon; no one-person prediction establishes the future.</x:v>
      </x:c>
    </x:row>
    <x:row r="14" ht="109.5" customHeight="1">
      <x:c r="A14" s="13" t="str">
        <x:v>chapter-01</x:v>
      </x:c>
      <x:c r="B14" s="13" t="str">
        <x:v>Chapter 1: The Event Horizon</x:v>
      </x:c>
      <x:c r="C14" s="13" t="str">
        <x:v>24-37</x:v>
      </x:c>
      <x:c r="D14" s="15" t="n">
        <x:f>MIN('Edit queue'!B9,'Edit queue'!B10,'Edit queue'!B15,'Edit queue'!B19,'Edit queue'!B20,'Edit queue'!B43,'Edit queue'!B49)</x:f>
        <x:v>1</x:v>
      </x:c>
      <x:c r="E14" s="13" t="str">
        <x:v>The attempt to define the central term before debating it.</x:v>
      </x:c>
      <x:c r="F14" s="13" t="str">
        <x:v>Separate AGI, RSI and economic deployment. Retain Thanksgiving 2027 as the personal call; audit the calculations and graphics claiming a mathematical deadline.</x:v>
      </x:c>
      <x:c r="G14" s="13" t="str">
        <x:v>E01, E02, E07, E11, E12, E35, E41</x:v>
      </x:c>
      <x:c r="H14" s="53" t="str">
        <x:v>Develop</x:v>
      </x:c>
      <x:c r="I14" s="53" t="str">
        <x:v>Conflict</x:v>
      </x:c>
      <x:c r="J14" s="53" t="str">
        <x:v>n.a.</x:v>
      </x:c>
      <x:c r="K14" s="53" t="str">
        <x:v>Develop</x:v>
      </x:c>
      <x:c r="L14" s="53" t="str">
        <x:v>Develop</x:v>
      </x:c>
      <x:c r="M14" s="53" t="str">
        <x:v>Verify</x:v>
      </x:c>
      <x:c r="N14" s="53" t="str">
        <x:v>Conflict</x:v>
      </x:c>
      <x:c r="O14" s="53" t="str">
        <x:v>Verify</x:v>
      </x:c>
      <x:c r="P14" s="52" t="str">
        <x:v>Define the forecast</x:v>
      </x:c>
      <x:c r="Q14" s="52" t="str">
        <x:v>Definitions and evidence belong in the book; frontier development does not.</x:v>
      </x:c>
    </x:row>
    <x:row r="15" ht="109.5" customHeight="1">
      <x:c r="A15" s="13" t="str">
        <x:v>chapter-02</x:v>
      </x:c>
      <x:c r="B15" s="13" t="str">
        <x:v>Chapter 2: The Era of AGI (Stages 1–5)</x:v>
      </x:c>
      <x:c r="C15" s="13" t="str">
        <x:v>38-47</x:v>
      </x:c>
      <x:c r="D15" s="15" t="n">
        <x:f>MIN('Edit queue'!B9,'Edit queue'!B10,'Edit queue'!B14,'Edit queue'!B15,'Edit queue'!B43,'Edit queue'!B47,'Edit queue'!B49)</x:f>
        <x:v>1</x:v>
      </x:c>
      <x:c r="E15" s="13" t="str">
        <x:v>Attention to access, control and competing interests.</x:v>
      </x:c>
      <x:c r="F15" s="13" t="str">
        <x:v>Keep competing interests; remove engineer-as-governor conclusions. Correct GLM identification and narrow remaining product claims. Treat single-use intelligence as a hypothesis if added.</x:v>
      </x:c>
      <x:c r="G15" s="13" t="str">
        <x:v>E01, E02, E06, E07, E35, E39, E41</x:v>
      </x:c>
      <x:c r="H15" s="53" t="str">
        <x:v>Conflict</x:v>
      </x:c>
      <x:c r="I15" s="53" t="str">
        <x:v>Conflict</x:v>
      </x:c>
      <x:c r="J15" s="53" t="str">
        <x:v>Conflict</x:v>
      </x:c>
      <x:c r="K15" s="53" t="str">
        <x:v>Conflict</x:v>
      </x:c>
      <x:c r="L15" s="53" t="str">
        <x:v>Develop</x:v>
      </x:c>
      <x:c r="M15" s="53" t="str">
        <x:v>Verify</x:v>
      </x:c>
      <x:c r="N15" s="53" t="str">
        <x:v>Conflict</x:v>
      </x:c>
      <x:c r="O15" s="53" t="str">
        <x:v>Verify</x:v>
      </x:c>
      <x:c r="P15" s="52" t="str">
        <x:v>Discuss access and collective choices</x:v>
      </x:c>
      <x:c r="Q15" s="52" t="str">
        <x:v>Institutional design and frontier alignment require organized expertise and public input.</x:v>
      </x:c>
    </x:row>
    <x:row r="16" ht="109.5" customHeight="1">
      <x:c r="A16" s="13" t="str">
        <x:v>chapter-03</x:v>
      </x:c>
      <x:c r="B16" s="13" t="str">
        <x:v>Chapter 3: The Leap to ASI &amp; the Machine Exodus (Stages 6-7)</x:v>
      </x:c>
      <x:c r="C16" s="13" t="str">
        <x:v>48-53</x:v>
      </x:c>
      <x:c r="D16" s="15" t="n">
        <x:f>MIN('Edit queue'!B10,'Edit queue'!B12,'Edit queue'!B43,'Edit queue'!B47)</x:f>
        <x:v>1</x:v>
      </x:c>
      <x:c r="E16" s="13" t="str">
        <x:v>Imagination about life beyond current constraints.</x:v>
      </x:c>
      <x:c r="F16" s="13" t="str">
        <x:v>Preserve imagination while labeling machine motives, medical transformation and expansion as scenarios. Reduce any implication that food-first action waits for these stages.</x:v>
      </x:c>
      <x:c r="G16" s="13" t="str">
        <x:v>E02, E04, E35, E39</x:v>
      </x:c>
      <x:c r="H16" s="53" t="str">
        <x:v>Conflict</x:v>
      </x:c>
      <x:c r="I16" s="53" t="str">
        <x:v>Conflict</x:v>
      </x:c>
      <x:c r="J16" s="53" t="str">
        <x:v>Conflict</x:v>
      </x:c>
      <x:c r="K16" s="53" t="str">
        <x:v>Develop</x:v>
      </x:c>
      <x:c r="L16" s="53" t="str">
        <x:v>Develop</x:v>
      </x:c>
      <x:c r="M16" s="53" t="str">
        <x:v>Conflict</x:v>
      </x:c>
      <x:c r="N16" s="53" t="str">
        <x:v>Conflict</x:v>
      </x:c>
      <x:c r="O16" s="53" t="str">
        <x:v>Verify</x:v>
      </x:c>
      <x:c r="P16" s="52" t="str">
        <x:v>Keep a speculative outer horizon</x:v>
      </x:c>
      <x:c r="Q16" s="52" t="str">
        <x:v>Clinical, biological and space work belongs to relevant research and institutions.</x:v>
      </x:c>
    </x:row>
    <x:row r="17" ht="109.5" customHeight="1">
      <x:c r="A17" s="13" t="str">
        <x:v>chapter-04</x:v>
      </x:c>
      <x:c r="B17" s="13" t="str">
        <x:v>Chapter 4: Universal and Multiverse Apex (Stages 8-9)</x:v>
      </x:c>
      <x:c r="C17" s="13" t="str">
        <x:v>54-60</x:v>
      </x:c>
      <x:c r="D17" s="15" t="n">
        <x:f>MIN('Edit queue'!B10,'Edit queue'!B12,'Edit queue'!B43)</x:f>
        <x:v>1</x:v>
      </x:c>
      <x:c r="E17" s="13" t="str">
        <x:v>Space for meaning and a much longer horizon.</x:v>
      </x:c>
      <x:c r="F17" s="13" t="str">
        <x:v>Retain meaning and cosmic speculation; qualify inevitability, simulation and universal motive claims. Keep this distinct from the practical case.</x:v>
      </x:c>
      <x:c r="G17" s="13" t="str">
        <x:v>E02, E04, E35</x:v>
      </x:c>
      <x:c r="H17" s="53" t="str">
        <x:v>Develop</x:v>
      </x:c>
      <x:c r="I17" s="53" t="str">
        <x:v>Conflict</x:v>
      </x:c>
      <x:c r="J17" s="53" t="str">
        <x:v>Conflict</x:v>
      </x:c>
      <x:c r="K17" s="53" t="str">
        <x:v>n.a.</x:v>
      </x:c>
      <x:c r="L17" s="53" t="str">
        <x:v>Develop</x:v>
      </x:c>
      <x:c r="M17" s="53" t="str">
        <x:v>Conflict</x:v>
      </x:c>
      <x:c r="N17" s="53" t="str">
        <x:v>Conflict</x:v>
      </x:c>
      <x:c r="O17" s="53" t="str">
        <x:v>Verify</x:v>
      </x:c>
      <x:c r="P17" s="52" t="str">
        <x:v>Keep philosophical room without false certainty</x:v>
      </x:c>
      <x:c r="Q17" s="52" t="str">
        <x:v>The wider horizon remains uncertain and is not a promised delivery plan.</x:v>
      </x:c>
    </x:row>
    <x:row r="18" ht="109.5" customHeight="1">
      <x:c r="A18" s="13" t="str">
        <x:v>chapter-05</x:v>
      </x:c>
      <x:c r="B18" s="13" t="str">
        <x:v>Chapter 5: The Thermodynamics of Survival</x:v>
      </x:c>
      <x:c r="C18" s="13" t="str">
        <x:v>61-73</x:v>
      </x:c>
      <x:c r="D18" s="15" t="n">
        <x:f>MIN('Edit queue'!B10,'Edit queue'!B12,'Edit queue'!B16,'Edit queue'!B24,'Edit queue'!B43,'Edit queue'!B47,'Edit queue'!B51)</x:f>
        <x:v>1</x:v>
      </x:c>
      <x:c r="E18" s="13" t="str">
        <x:v>Attention to physical resources beneath digital abundance.</x:v>
      </x:c>
      <x:c r="F18" s="13" t="str">
        <x:v>Keep thermodynamic limits. Use energy, water, consumables and maintenance to explain what a food or labor task needs; reconsider expensive-to-hunt rhetoric as the practical conclusion.</x:v>
      </x:c>
      <x:c r="G18" s="13" t="str">
        <x:v>E02, E04, E08, E16, E35, E39, E43</x:v>
      </x:c>
      <x:c r="H18" s="53" t="str">
        <x:v>Develop</x:v>
      </x:c>
      <x:c r="I18" s="53" t="str">
        <x:v>Develop</x:v>
      </x:c>
      <x:c r="J18" s="53" t="str">
        <x:v>Conflict</x:v>
      </x:c>
      <x:c r="K18" s="53" t="str">
        <x:v>Develop</x:v>
      </x:c>
      <x:c r="L18" s="53" t="str">
        <x:v>Develop</x:v>
      </x:c>
      <x:c r="M18" s="53" t="str">
        <x:v>Verify</x:v>
      </x:c>
      <x:c r="N18" s="53" t="str">
        <x:v>Conflict</x:v>
      </x:c>
      <x:c r="O18" s="53" t="str">
        <x:v>Verify</x:v>
      </x:c>
      <x:c r="P18" s="52" t="str">
        <x:v>Explain physical resources</x:v>
      </x:c>
      <x:c r="Q18" s="52" t="str">
        <x:v>Energy infrastructure is shared work; a first useful project need not solve autonomy.</x:v>
      </x:c>
    </x:row>
    <x:row r="19" ht="109.5" customHeight="1">
      <x:c r="A19" s="13" t="str">
        <x:v>part-ii</x:v>
      </x:c>
      <x:c r="B19" s="13" t="str">
        <x:v>Part II: How Humans React: The Cooperative</x:v>
      </x:c>
      <x:c r="C19" s="13" t="str">
        <x:v>74-74</x:v>
      </x:c>
      <x:c r="D19" s="15" t="n">
        <x:f>MIN('Edit queue'!B16,'Edit queue'!B47,'Edit queue'!B53)</x:f>
        <x:v>1</x:v>
      </x:c>
      <x:c r="E19" s="13" t="str">
        <x:v>The turn toward a cooperative response.</x:v>
      </x:c>
      <x:c r="F19" s="13" t="str">
        <x:v>Replace the psychology-only bottleneck on page 74 with a transition into learning, technical limits, access and coordination.</x:v>
      </x:c>
      <x:c r="G19" s="13" t="str">
        <x:v>E08, E39, E45</x:v>
      </x:c>
      <x:c r="H19" s="53" t="str">
        <x:v>Develop</x:v>
      </x:c>
      <x:c r="I19" s="53" t="str">
        <x:v>n.a.</x:v>
      </x:c>
      <x:c r="J19" s="53" t="str">
        <x:v>Develop</x:v>
      </x:c>
      <x:c r="K19" s="53" t="str">
        <x:v>Develop</x:v>
      </x:c>
      <x:c r="L19" s="53" t="str">
        <x:v>Develop</x:v>
      </x:c>
      <x:c r="M19" s="53" t="str">
        <x:v>n.a.</x:v>
      </x:c>
      <x:c r="N19" s="53" t="str">
        <x:v>Develop</x:v>
      </x:c>
      <x:c r="O19" s="53" t="str">
        <x:v>n.a.</x:v>
      </x:c>
      <x:c r="P19" s="52" t="str">
        <x:v>Invite cooperative experimentation</x:v>
      </x:c>
      <x:c r="Q19" s="52" t="str">
        <x:v>Informed agreement is something to work toward, not the presumed product of readiness.</x:v>
      </x:c>
    </x:row>
    <x:row r="20" ht="109.5" customHeight="1">
      <x:c r="A20" s="13" t="str">
        <x:v>chapter-06</x:v>
      </x:c>
      <x:c r="B20" s="13" t="str">
        <x:v>Chapter 6: The Singularity Is a Done Deal</x:v>
      </x:c>
      <x:c r="C20" s="13" t="str">
        <x:v>75-81</x:v>
      </x:c>
      <x:c r="D20" s="15" t="n">
        <x:f>MIN('Edit queue'!B11,'Edit queue'!B15,'Edit queue'!B16,'Edit queue'!B40,'Edit queue'!B43,'Edit queue'!B51)</x:f>
        <x:v>1</x:v>
      </x:c>
      <x:c r="E20" s="13" t="str">
        <x:v>Elijah's arrival and the possibility of collective capability.</x:v>
      </x:c>
      <x:c r="F20" s="13" t="str">
        <x:v>Keep Elijah’s arrival; revise done-deal and zero-cost framing. Use the first food/labor goal to organize what is ready and what still requires collaboration.</x:v>
      </x:c>
      <x:c r="G20" s="13" t="str">
        <x:v>E03, E07, E08, E32, E35, E43</x:v>
      </x:c>
      <x:c r="H20" s="53" t="str">
        <x:v>Conflict</x:v>
      </x:c>
      <x:c r="I20" s="53" t="str">
        <x:v>Conflict</x:v>
      </x:c>
      <x:c r="J20" s="53" t="str">
        <x:v>Conflict</x:v>
      </x:c>
      <x:c r="K20" s="53" t="str">
        <x:v>Conflict</x:v>
      </x:c>
      <x:c r="L20" s="53" t="str">
        <x:v>Develop</x:v>
      </x:c>
      <x:c r="M20" s="53" t="str">
        <x:v>Verify</x:v>
      </x:c>
      <x:c r="N20" s="53" t="str">
        <x:v>Conflict</x:v>
      </x:c>
      <x:c r="O20" s="53" t="str">
        <x:v>Verify</x:v>
      </x:c>
      <x:c r="P20" s="52" t="str">
        <x:v>Show possibility with unfinished work</x:v>
      </x:c>
      <x:c r="Q20" s="52" t="str">
        <x:v>Do not require a complete new social contract before a useful trial.</x:v>
      </x:c>
    </x:row>
    <x:row r="21" ht="109.5" customHeight="1">
      <x:c r="A21" s="13" t="str">
        <x:v>chapter-07</x:v>
      </x:c>
      <x:c r="B21" s="13" t="str">
        <x:v>Chapter 7: The Battle Lines: The Entitled vs. The Ready</x:v>
      </x:c>
      <x:c r="C21" s="13" t="str">
        <x:v>82-96</x:v>
      </x:c>
      <x:c r="D21" s="15" t="n">
        <x:f>MIN('Edit queue'!B12,'Edit queue'!B14,'Edit queue'!B19,'Edit queue'!B40,'Edit queue'!B43,'Edit queue'!B44)</x:f>
        <x:v>1</x:v>
      </x:c>
      <x:c r="E21" s="13" t="str">
        <x:v>Denny, the dinner conversation and the egalitarian pivot.</x:v>
      </x:c>
      <x:c r="F21" s="13" t="str">
        <x:v>Keep Denny and the dinner. Replace the demographic table and presumed moral motives; connect listening to the informed public conversation the author wants.</x:v>
      </x:c>
      <x:c r="G21" s="13" t="str">
        <x:v>E04, E06, E11, E32, E35, E36</x:v>
      </x:c>
      <x:c r="H21" s="53" t="str">
        <x:v>Develop</x:v>
      </x:c>
      <x:c r="I21" s="53" t="str">
        <x:v>Develop</x:v>
      </x:c>
      <x:c r="J21" s="53" t="str">
        <x:v>Conflict</x:v>
      </x:c>
      <x:c r="K21" s="53" t="str">
        <x:v>Develop</x:v>
      </x:c>
      <x:c r="L21" s="53" t="str">
        <x:v>Develop</x:v>
      </x:c>
      <x:c r="M21" s="53" t="str">
        <x:v>Conflict</x:v>
      </x:c>
      <x:c r="N21" s="53" t="str">
        <x:v>Conflict</x:v>
      </x:c>
      <x:c r="O21" s="53" t="str">
        <x:v>Verify</x:v>
      </x:c>
      <x:c r="P21" s="52" t="str">
        <x:v>Make disagreement human</x:v>
      </x:c>
      <x:c r="Q21" s="52" t="str">
        <x:v>Public participants may disagree without becoming enemies of progress.</x:v>
      </x:c>
    </x:row>
    <x:row r="22" ht="109.5" customHeight="1">
      <x:c r="A22" s="13" t="str">
        <x:v>chapter-08</x:v>
      </x:c>
      <x:c r="B22" s="13" t="str">
        <x:v>Chapter 8: The Psychology of the Collapse</x:v>
      </x:c>
      <x:c r="C22" s="13" t="str">
        <x:v>97-117</x:v>
      </x:c>
      <x:c r="D22" s="15" t="n">
        <x:f>MIN('Edit queue'!B13,'Edit queue'!B14,'Edit queue'!B22,'Edit queue'!B23,'Edit queue'!B30,'Edit queue'!B36,'Edit queue'!B43)</x:f>
        <x:v>0</x:v>
      </x:c>
      <x:c r="E22" s="13" t="str">
        <x:v>Attention, trust and the difficulty of living through change.</x:v>
      </x:c>
      <x:c r="F22" s="13" t="str">
        <x:v>Retain attention and trust. Repair biology and game theory; remove deprivation as an endorsed compliance mechanism and small-group familiarity as a fairness guarantee.</x:v>
      </x:c>
      <x:c r="G22" s="13" t="str">
        <x:v>E05, E06, E14, E15, E22, E28, E35</x:v>
      </x:c>
      <x:c r="H22" s="53" t="str">
        <x:v>Conflict</x:v>
      </x:c>
      <x:c r="I22" s="53" t="str">
        <x:v>Develop</x:v>
      </x:c>
      <x:c r="J22" s="53" t="str">
        <x:v>Conflict</x:v>
      </x:c>
      <x:c r="K22" s="53" t="str">
        <x:v>Conflict</x:v>
      </x:c>
      <x:c r="L22" s="53" t="str">
        <x:v>Develop</x:v>
      </x:c>
      <x:c r="M22" s="53" t="str">
        <x:v>Verify</x:v>
      </x:c>
      <x:c r="N22" s="53" t="str">
        <x:v>Conflict</x:v>
      </x:c>
      <x:c r="O22" s="53" t="str">
        <x:v>Verify</x:v>
      </x:c>
      <x:c r="P22" s="52" t="str">
        <x:v>Support attention and cooperation</x:v>
      </x:c>
      <x:c r="Q22" s="52" t="str">
        <x:v>Raise decision and dispute questions for collective work instead of specifying a constitution.</x:v>
      </x:c>
    </x:row>
    <x:row r="23" ht="109.5" customHeight="1">
      <x:c r="A23" s="13" t="str">
        <x:v>chapter-09</x:v>
      </x:c>
      <x:c r="B23" s="13" t="str">
        <x:v>Chapter 9: Deglobalization and the Neighborhood Factory</x:v>
      </x:c>
      <x:c r="C23" s="13" t="str">
        <x:v>118-136</x:v>
      </x:c>
      <x:c r="D23" s="15" t="n">
        <x:f>MIN('Edit queue'!B13,'Edit queue'!B14,'Edit queue'!B24,'Edit queue'!B25,'Edit queue'!B27,'Edit queue'!B28,'Edit queue'!B29,'Edit queue'!B31,'Edit queue'!B43,'Edit queue'!B49,'Edit queue'!B51)</x:f>
        <x:v>0</x:v>
      </x:c>
      <x:c r="E23" s="13" t="str">
        <x:v>Neighborhood production and shared infrastructure.</x:v>
      </x:c>
      <x:c r="F23" s="13" t="str">
        <x:v>Make growing and useful food delivery the central worked case. Preserve Marta and regional resilience; distinguish tending from harvest and distribution. Replace the tea recipe with a capability account and correct nutrient roles.</x:v>
      </x:c>
      <x:c r="G23" s="13" t="str">
        <x:v>E05, E06, E16, E17, E19, E20, E21, E23, E35, E41, E43</x:v>
      </x:c>
      <x:c r="H23" s="53" t="str">
        <x:v>Develop</x:v>
      </x:c>
      <x:c r="I23" s="53" t="str">
        <x:v>Conflict</x:v>
      </x:c>
      <x:c r="J23" s="53" t="str">
        <x:v>n.a.</x:v>
      </x:c>
      <x:c r="K23" s="53" t="str">
        <x:v>Develop</x:v>
      </x:c>
      <x:c r="L23" s="53" t="str">
        <x:v>Verify</x:v>
      </x:c>
      <x:c r="M23" s="53" t="str">
        <x:v>Verify</x:v>
      </x:c>
      <x:c r="N23" s="53" t="str">
        <x:v>Conflict</x:v>
      </x:c>
      <x:c r="O23" s="53" t="str">
        <x:v>Verify</x:v>
      </x:c>
      <x:c r="P23" s="52" t="str">
        <x:v>Anchor the first food task chain</x:v>
      </x:c>
      <x:c r="Q23" s="52" t="str">
        <x:v>Agriculture, food handling and cyber operations have qualified institutional partners.</x:v>
      </x:c>
    </x:row>
    <x:row r="24" ht="109.5" customHeight="1">
      <x:c r="A24" s="13" t="str">
        <x:v>part-iii</x:v>
      </x:c>
      <x:c r="B24" s="13" t="str">
        <x:v>Part III: How to Survive the Transition</x:v>
      </x:c>
      <x:c r="C24" s="13" t="str">
        <x:v>137-137</x:v>
      </x:c>
      <x:c r="D24" s="15" t="n">
        <x:f>MIN('Edit queue'!B9,'Edit queue'!B17,'Edit queue'!B53)</x:f>
        <x:v>1</x:v>
      </x:c>
      <x:c r="E24" s="13" t="str">
        <x:v>The transition from explanation to useful work.</x:v>
      </x:c>
      <x:c r="F24" s="13" t="str">
        <x:v>On page 137, replace scheduled RSI and total control with food-first action under uncertainty. Provide no-land and shared-tool routes.</x:v>
      </x:c>
      <x:c r="G24" s="13" t="str">
        <x:v>E01, E09, E45</x:v>
      </x:c>
      <x:c r="H24" s="53" t="str">
        <x:v>Develop</x:v>
      </x:c>
      <x:c r="I24" s="53" t="str">
        <x:v>Conflict</x:v>
      </x:c>
      <x:c r="J24" s="53" t="str">
        <x:v>n.a.</x:v>
      </x:c>
      <x:c r="K24" s="53" t="str">
        <x:v>Develop</x:v>
      </x:c>
      <x:c r="L24" s="53" t="str">
        <x:v>Develop</x:v>
      </x:c>
      <x:c r="M24" s="53" t="str">
        <x:v>n.a.</x:v>
      </x:c>
      <x:c r="N24" s="53" t="str">
        <x:v>Develop</x:v>
      </x:c>
      <x:c r="O24" s="53" t="str">
        <x:v>n.a.</x:v>
      </x:c>
      <x:c r="P24" s="52" t="str">
        <x:v>Offer a small useful start</x:v>
      </x:c>
      <x:c r="Q24" s="52" t="str">
        <x:v>A reader can begin without taking over every operational or institutional role.</x:v>
      </x:c>
    </x:row>
    <x:row r="25" ht="109.5" customHeight="1">
      <x:c r="A25" s="13" t="str">
        <x:v>chapter-10</x:v>
      </x:c>
      <x:c r="B25" s="13" t="str">
        <x:v>Chapter 10: The Create Over Consume Protocol</x:v>
      </x:c>
      <x:c r="C25" s="13" t="str">
        <x:v>138-148</x:v>
      </x:c>
      <x:c r="D25" s="15" t="n">
        <x:f>MIN('Edit queue'!B17,'Edit queue'!B19,'Edit queue'!B20,'Edit queue'!B21,'Edit queue'!B34,'Edit queue'!B37,'Edit queue'!B40,'Edit queue'!B41,'Edit queue'!B43,'Edit queue'!B51)</x:f>
        <x:v>1</x:v>
      </x:c>
      <x:c r="E25" s="13" t="str">
        <x:v>Denny's authentic voice and clear ownership of his channel.</x:v>
      </x:c>
      <x:c r="F25" s="13" t="str">
        <x:v>Keep Denny’s voice. Offer a bounded food or ordinary-litter task without a purchase requirement, productivity test or compulsory media business. Leave room for rest.</x:v>
      </x:c>
      <x:c r="G25" s="13" t="str">
        <x:v>E09, E11, E12, E13, E26, E29, E32, E33, E35, E43</x:v>
      </x:c>
      <x:c r="H25" s="53" t="str">
        <x:v>Conflict</x:v>
      </x:c>
      <x:c r="I25" s="53" t="str">
        <x:v>Conflict</x:v>
      </x:c>
      <x:c r="J25" s="53" t="str">
        <x:v>Develop</x:v>
      </x:c>
      <x:c r="K25" s="53" t="str">
        <x:v>Develop</x:v>
      </x:c>
      <x:c r="L25" s="53" t="str">
        <x:v>Develop</x:v>
      </x:c>
      <x:c r="M25" s="53" t="str">
        <x:v>Develop</x:v>
      </x:c>
      <x:c r="N25" s="53" t="str">
        <x:v>Conflict</x:v>
      </x:c>
      <x:c r="O25" s="53" t="str">
        <x:v>Verify</x:v>
      </x:c>
      <x:c r="P25" s="52" t="str">
        <x:v>Turn participation into an attainable invitation</x:v>
      </x:c>
      <x:c r="Q25" s="52" t="str">
        <x:v>Physical work, planning, care and receiving help can all fit.</x:v>
      </x:c>
    </x:row>
    <x:row r="26" ht="109.5" customHeight="1">
      <x:c r="A26" s="13" t="str">
        <x:v>chapter-11</x:v>
      </x:c>
      <x:c r="B26" s="13" t="str">
        <x:v>Chapter 11: Using the Tech to Your Advantage</x:v>
      </x:c>
      <x:c r="C26" s="13" t="str">
        <x:v>149-162</x:v>
      </x:c>
      <x:c r="D26" s="15" t="n">
        <x:f>MIN('Edit queue'!B15,'Edit queue'!B19,'Edit queue'!B25,'Edit queue'!B30,'Edit queue'!B31,'Edit queue'!B41,'Edit queue'!B42,'Edit queue'!B43,'Edit queue'!B50,'Edit queue'!B51)</x:f>
        <x:v>0</x:v>
      </x:c>
      <x:c r="E26" s="13" t="str">
        <x:v>The exposed-data failure and honest postmortem.</x:v>
      </x:c>
      <x:c r="F26" s="13" t="str">
        <x:v>Use the approved court title. Start with food or mutual-aid assistance; keep the exposure story. Explain tool roles and limits while converting unsupported deployment recipes to concepts. Proposed placement: one compact response to dependency, WALL-E, existing-method and jobs objections after the court’s purpose; cross-reference it from cleanup rather than repeat it.</x:v>
      </x:c>
      <x:c r="G26" s="13" t="str">
        <x:v>E07, E11, E17, E22, E23, E33, E34, E35, E42, E43</x:v>
      </x:c>
      <x:c r="H26" s="53" t="str">
        <x:v>Develop</x:v>
      </x:c>
      <x:c r="I26" s="53" t="str">
        <x:v>Conflict</x:v>
      </x:c>
      <x:c r="J26" s="53" t="str">
        <x:v>Retain</x:v>
      </x:c>
      <x:c r="K26" s="53" t="str">
        <x:v>Develop</x:v>
      </x:c>
      <x:c r="L26" s="53" t="str">
        <x:v>Verify</x:v>
      </x:c>
      <x:c r="M26" s="53" t="str">
        <x:v>Verify</x:v>
      </x:c>
      <x:c r="N26" s="53" t="str">
        <x:v>Conflict</x:v>
      </x:c>
      <x:c r="O26" s="53" t="str">
        <x:v>Verify</x:v>
      </x:c>
      <x:c r="P26" s="52" t="str">
        <x:v>Connect requested assistance to a checked result</x:v>
      </x:c>
      <x:c r="Q26" s="52" t="str">
        <x:v>Cybersecurity programs belong to operators, specialists and institutions.</x:v>
      </x:c>
    </x:row>
    <x:row r="27" ht="109.5" customHeight="1">
      <x:c r="A27" s="13" t="str">
        <x:v>chapter-12</x:v>
      </x:c>
      <x:c r="B27" s="13" t="str">
        <x:v>Chapter 12: The Land Strategy</x:v>
      </x:c>
      <x:c r="C27" s="13" t="str">
        <x:v>163-175</x:v>
      </x:c>
      <x:c r="D27" s="15" t="n">
        <x:f>MIN('Edit queue'!B13,'Edit queue'!B14,'Edit queue'!B15,'Edit queue'!B17,'Edit queue'!B25,'Edit queue'!B26,'Edit queue'!B27,'Edit queue'!B30,'Edit queue'!B36,'Edit queue'!B39,'Edit queue'!B42,'Edit queue'!B43,'Edit queue'!B44,'Edit queue'!B50,'Edit queue'!B51)</x:f>
        <x:v>0</x:v>
      </x:c>
      <x:c r="E27" s="13" t="str">
        <x:v>The elder-neighbor request and the land-trust narrative.</x:v>
      </x:c>
      <x:c r="F27" s="13" t="str">
        <x:v>Use the existing grandma story across 166–171. Clarify human/machine roles, food outcomes and cost assumptions; correct the surplus diagram. Present land purchase as one route.</x:v>
      </x:c>
      <x:c r="G27" s="13" t="str">
        <x:v>E05, E06, E07, E09, E17, E18, E19, E22, E28, E31, E34, E35, E36, E42, E43</x:v>
      </x:c>
      <x:c r="H27" s="53" t="str">
        <x:v>Retain</x:v>
      </x:c>
      <x:c r="I27" s="53" t="str">
        <x:v>Develop</x:v>
      </x:c>
      <x:c r="J27" s="53" t="str">
        <x:v>Retain</x:v>
      </x:c>
      <x:c r="K27" s="53" t="str">
        <x:v>Develop</x:v>
      </x:c>
      <x:c r="L27" s="53" t="str">
        <x:v>Develop</x:v>
      </x:c>
      <x:c r="M27" s="53" t="str">
        <x:v>Conflict</x:v>
      </x:c>
      <x:c r="N27" s="53" t="str">
        <x:v>Conflict</x:v>
      </x:c>
      <x:c r="O27" s="53" t="str">
        <x:v>Verify</x:v>
      </x:c>
      <x:c r="P27" s="52" t="str">
        <x:v>Make mutual aid visible</x:v>
      </x:c>
      <x:c r="Q27" s="52" t="str">
        <x:v>Real service design and land arrangements are collaborative, not the author’s solo blueprint.</x:v>
      </x:c>
    </x:row>
    <x:row r="28" ht="109.5" customHeight="1">
      <x:c r="A28" s="13" t="str">
        <x:v>chapter-13</x:v>
      </x:c>
      <x:c r="B28" s="13" t="str">
        <x:v>Chapter 13: The Shouse Protocol</x:v>
      </x:c>
      <x:c r="C28" s="13" t="str">
        <x:v>176-191</x:v>
      </x:c>
      <x:c r="D28" s="15" t="n">
        <x:f>MIN('Edit queue'!B19,'Edit queue'!B31,'Edit queue'!B32,'Edit queue'!B40,'Edit queue'!B43,'Edit queue'!B44)</x:f>
        <x:v>0</x:v>
      </x:c>
      <x:c r="E28" s="13" t="str">
        <x:v>The failed-weld lesson and respect for learned skill.</x:v>
      </x:c>
      <x:c r="F28" s="13" t="str">
        <x:v>Keep the failed weld and learned skill. Narrow structural, heating and water claims. Present the shouse as an optional example, not infrastructure required before food work begins.</x:v>
      </x:c>
      <x:c r="G28" s="13" t="str">
        <x:v>E11, E23, E24, E32, E35, E36</x:v>
      </x:c>
      <x:c r="H28" s="53" t="str">
        <x:v>Develop</x:v>
      </x:c>
      <x:c r="I28" s="53" t="str">
        <x:v>Develop</x:v>
      </x:c>
      <x:c r="J28" s="53" t="str">
        <x:v>n.a.</x:v>
      </x:c>
      <x:c r="K28" s="53" t="str">
        <x:v>Develop</x:v>
      </x:c>
      <x:c r="L28" s="53" t="str">
        <x:v>Verify</x:v>
      </x:c>
      <x:c r="M28" s="53" t="str">
        <x:v>Verify</x:v>
      </x:c>
      <x:c r="N28" s="53" t="str">
        <x:v>Develop</x:v>
      </x:c>
      <x:c r="O28" s="53" t="str">
        <x:v>Verify</x:v>
      </x:c>
      <x:c r="P28" s="52" t="str">
        <x:v>Present shelter as a later application</x:v>
      </x:c>
      <x:c r="Q28" s="52" t="str">
        <x:v>Engineering, site conditions and permissions belong with relevant professionals and institutions.</x:v>
      </x:c>
    </x:row>
    <x:row r="29" ht="109.5" customHeight="1">
      <x:c r="A29" s="13" t="str">
        <x:v>chapter-14</x:v>
      </x:c>
      <x:c r="B29" s="13" t="str">
        <x:v>Chapter 14: The Collapse of the Long Tail</x:v>
      </x:c>
      <x:c r="C29" s="13" t="str">
        <x:v>192-206</x:v>
      </x:c>
      <x:c r="D29" s="15" t="n">
        <x:f>MIN('Edit queue'!B24,'Edit queue'!B33,'Edit queue'!B36,'Edit queue'!B43,'Edit queue'!B44,'Edit queue'!B52)</x:f>
        <x:v>1</x:v>
      </x:c>
      <x:c r="E29" s="13" t="str">
        <x:v>Transferable capabilities and planning for disrupted supply.</x:v>
      </x:c>
      <x:c r="F29" s="13" t="str">
        <x:v>Keep transferable skills. Repair corporate history and shelf-stock/starvation confusion. Show how food and repair projects can increase options without declaring total supply-chain independence.</x:v>
      </x:c>
      <x:c r="G29" s="13" t="str">
        <x:v>E16, E25, E28, E35, E36, E44</x:v>
      </x:c>
      <x:c r="H29" s="53" t="str">
        <x:v>Conflict</x:v>
      </x:c>
      <x:c r="I29" s="53" t="str">
        <x:v>Conflict</x:v>
      </x:c>
      <x:c r="J29" s="53" t="str">
        <x:v>Develop</x:v>
      </x:c>
      <x:c r="K29" s="53" t="str">
        <x:v>Develop</x:v>
      </x:c>
      <x:c r="L29" s="53" t="str">
        <x:v>Develop</x:v>
      </x:c>
      <x:c r="M29" s="53" t="str">
        <x:v>Conflict</x:v>
      </x:c>
      <x:c r="N29" s="53" t="str">
        <x:v>Conflict</x:v>
      </x:c>
      <x:c r="O29" s="53" t="str">
        <x:v>Verify</x:v>
      </x:c>
      <x:c r="P29" s="52" t="str">
        <x:v>Connect disruption to useful local capacity</x:v>
      </x:c>
      <x:c r="Q29" s="52" t="str">
        <x:v>Distribution and continuity require organizations and partners.</x:v>
      </x:c>
    </x:row>
    <x:row r="30" ht="109.5" customHeight="1">
      <x:c r="A30" s="13" t="str">
        <x:v>chapter-15</x:v>
      </x:c>
      <x:c r="B30" s="13" t="str">
        <x:v>Chapter 15: The Power of Reclaiming Soil</x:v>
      </x:c>
      <x:c r="C30" s="13" t="str">
        <x:v>207-217</x:v>
      </x:c>
      <x:c r="D30" s="15" t="n">
        <x:f>MIN('Edit queue'!B26,'Edit queue'!B27,'Edit queue'!B28,'Edit queue'!B29,'Edit queue'!B39,'Edit queue'!B42,'Edit queue'!B43,'Edit queue'!B51)</x:f>
        <x:v>0</x:v>
      </x:c>
      <x:c r="E30" s="13" t="str">
        <x:v>Priya's willingness to compare instruments with the ground.</x:v>
      </x:c>
      <x:c r="F30" s="13" t="str">
        <x:v>Keep Priya checking the ground. Separate the sensor lesson from fictional tea causation and contamination claims. Correct blanket nutrient/GMO assertions and connect a harvest to usable food.</x:v>
      </x:c>
      <x:c r="G30" s="13" t="str">
        <x:v>E18, E19, E20, E21, E31, E34, E35, E43</x:v>
      </x:c>
      <x:c r="H30" s="53" t="str">
        <x:v>Retain</x:v>
      </x:c>
      <x:c r="I30" s="53" t="str">
        <x:v>Develop</x:v>
      </x:c>
      <x:c r="J30" s="53" t="str">
        <x:v>n.a.</x:v>
      </x:c>
      <x:c r="K30" s="53" t="str">
        <x:v>Develop</x:v>
      </x:c>
      <x:c r="L30" s="53" t="str">
        <x:v>Verify</x:v>
      </x:c>
      <x:c r="M30" s="53" t="str">
        <x:v>Verify</x:v>
      </x:c>
      <x:c r="N30" s="53" t="str">
        <x:v>Conflict</x:v>
      </x:c>
      <x:c r="O30" s="53" t="str">
        <x:v>Verify</x:v>
      </x:c>
      <x:c r="P30" s="52" t="str">
        <x:v>Model evidence-responsive growing</x:v>
      </x:c>
      <x:c r="Q30" s="52" t="str">
        <x:v>Site assessment and food safety are professional and institutional work.</x:v>
      </x:c>
    </x:row>
    <x:row r="31" ht="109.5" customHeight="1">
      <x:c r="A31" s="13" t="str">
        <x:v>chapter-16</x:v>
      </x:c>
      <x:c r="B31" s="13" t="str">
        <x:v>Chapter 16: Digital Leverage and Media Autonomy</x:v>
      </x:c>
      <x:c r="C31" s="13" t="str">
        <x:v>218-227</x:v>
      </x:c>
      <x:c r="D31" s="15" t="n">
        <x:f>MIN('Edit queue'!B21,'Edit queue'!B34,'Edit queue'!B40,'Edit queue'!B43)</x:f>
        <x:v>1</x:v>
      </x:c>
      <x:c r="E31" s="13" t="str">
        <x:v>Sharing useful work and retaining agency over distribution.</x:v>
      </x:c>
      <x:c r="F31" s="13" t="str">
        <x:v>Keep agency over useful documentation. Correct permanence, privacy, licensing and income promises; use food/labor observations as an optional example.</x:v>
      </x:c>
      <x:c r="G31" s="13" t="str">
        <x:v>E13, E26, E32, E35</x:v>
      </x:c>
      <x:c r="H31" s="53" t="str">
        <x:v>Develop</x:v>
      </x:c>
      <x:c r="I31" s="53" t="str">
        <x:v>Conflict</x:v>
      </x:c>
      <x:c r="J31" s="53" t="str">
        <x:v>Develop</x:v>
      </x:c>
      <x:c r="K31" s="53" t="str">
        <x:v>Develop</x:v>
      </x:c>
      <x:c r="L31" s="53" t="str">
        <x:v>Develop</x:v>
      </x:c>
      <x:c r="M31" s="53" t="str">
        <x:v>Verify</x:v>
      </x:c>
      <x:c r="N31" s="53" t="str">
        <x:v>Conflict</x:v>
      </x:c>
      <x:c r="O31" s="53" t="str">
        <x:v>Verify</x:v>
      </x:c>
      <x:c r="P31" s="52" t="str">
        <x:v>Share results others can evaluate</x:v>
      </x:c>
      <x:c r="Q31" s="52" t="str">
        <x:v>No platform, audience or publishing business is necessary to participate.</x:v>
      </x:c>
    </x:row>
    <x:row r="32" ht="109.5" customHeight="1">
      <x:c r="A32" s="13" t="str">
        <x:v>chapter-17</x:v>
      </x:c>
      <x:c r="B32" s="13" t="str">
        <x:v>Chapter 17: Tools of the Trade</x:v>
      </x:c>
      <x:c r="C32" s="13" t="str">
        <x:v>228-242</x:v>
      </x:c>
      <x:c r="D32" s="15" t="n">
        <x:f>MIN('Edit queue'!B19,'Edit queue'!B22,'Edit queue'!B35,'Edit queue'!B36,'Edit queue'!B37,'Edit queue'!B42,'Edit queue'!B43,'Edit queue'!B51,'Edit queue'!B52)</x:f>
        <x:v>0</x:v>
      </x:c>
      <x:c r="E32" s="13" t="str">
        <x:v>Tool access, repair and the practical workbench orientation.</x:v>
      </x:c>
      <x:c r="F32" s="13" t="str">
        <x:v>Lead with tools for the mission sequence. Remove incomplete battery instructions and total-loop guarantees. Add a concise litter-to-disposal task, distinct from recycling experiments. Explain that regular cleanup can complement prevention; hazardous-work robotics remains a specialist possibility with deployment-specific evidence.</x:v>
      </x:c>
      <x:c r="G32" s="13" t="str">
        <x:v>E11, E14, E27, E28, E29, E34, E35, E43, E44</x:v>
      </x:c>
      <x:c r="H32" s="53" t="str">
        <x:v>Retain</x:v>
      </x:c>
      <x:c r="I32" s="53" t="str">
        <x:v>Develop</x:v>
      </x:c>
      <x:c r="J32" s="53" t="str">
        <x:v>n.a.</x:v>
      </x:c>
      <x:c r="K32" s="53" t="str">
        <x:v>Develop</x:v>
      </x:c>
      <x:c r="L32" s="53" t="str">
        <x:v>Verify</x:v>
      </x:c>
      <x:c r="M32" s="53" t="str">
        <x:v>Retain</x:v>
      </x:c>
      <x:c r="N32" s="53" t="str">
        <x:v>Conflict</x:v>
      </x:c>
      <x:c r="O32" s="53" t="str">
        <x:v>Verify</x:v>
      </x:c>
      <x:c r="P32" s="52" t="str">
        <x:v>Select tools by the job</x:v>
      </x:c>
      <x:c r="Q32" s="52" t="str">
        <x:v>Hardware engineering and waste systems have specialist owners.</x:v>
      </x:c>
    </x:row>
    <x:row r="33" ht="109.5" customHeight="1">
      <x:c r="A33" s="13" t="str">
        <x:v>chapter-18</x:v>
      </x:c>
      <x:c r="B33" s="13" t="str">
        <x:v>Chapter 18: The Roadmap and the Premortem Pivot</x:v>
      </x:c>
      <x:c r="C33" s="13" t="str">
        <x:v>243-250</x:v>
      </x:c>
      <x:c r="D33" s="15" t="n">
        <x:f>MIN('Edit queue'!B13,'Edit queue'!B14,'Edit queue'!B15,'Edit queue'!B16,'Edit queue'!B21,'Edit queue'!B39,'Edit queue'!B40,'Edit queue'!B43,'Edit queue'!B47,'Edit queue'!B48,'Edit queue'!B52)</x:f>
        <x:v>0</x:v>
      </x:c>
      <x:c r="E33" s="13" t="str">
        <x:v>The annual meeting, named people, burnout and succession concerns.</x:v>
      </x:c>
      <x:c r="F33" s="13" t="str">
        <x:v>Keep the annual meeting, care and scarce skills. Replace the five-risks-only frame and failing-community verdict with a useful next step and explicit partner needs.</x:v>
      </x:c>
      <x:c r="G33" s="13" t="str">
        <x:v>E05, E06, E07, E08, E13, E31, E32, E35, E39, E40, E44</x:v>
      </x:c>
      <x:c r="H33" s="53" t="str">
        <x:v>Conflict</x:v>
      </x:c>
      <x:c r="I33" s="53" t="str">
        <x:v>Conflict</x:v>
      </x:c>
      <x:c r="J33" s="53" t="str">
        <x:v>Retain</x:v>
      </x:c>
      <x:c r="K33" s="53" t="str">
        <x:v>Develop</x:v>
      </x:c>
      <x:c r="L33" s="53" t="str">
        <x:v>Develop</x:v>
      </x:c>
      <x:c r="M33" s="53" t="str">
        <x:v>Retain</x:v>
      </x:c>
      <x:c r="N33" s="53" t="str">
        <x:v>Conflict</x:v>
      </x:c>
      <x:c r="O33" s="53" t="str">
        <x:v>Verify</x:v>
      </x:c>
      <x:c r="P33" s="52" t="str">
        <x:v>Revise plans without blaming people</x:v>
      </x:c>
      <x:c r="Q33" s="52" t="str">
        <x:v>No individual or group must become a complete replacement for institutions.</x:v>
      </x:c>
    </x:row>
    <x:row r="34" ht="109.5" customHeight="1">
      <x:c r="A34" s="13" t="str">
        <x:v>conclusion</x:v>
      </x:c>
      <x:c r="B34" s="13" t="str">
        <x:v>CONCLUSION: The 2027 Tipping Point</x:v>
      </x:c>
      <x:c r="C34" s="13" t="str">
        <x:v>251-256</x:v>
      </x:c>
      <x:c r="D34" s="15" t="n">
        <x:f>MIN('Edit queue'!B9,'Edit queue'!B11,'Edit queue'!B17,'Edit queue'!B18,'Edit queue'!B19,'Edit queue'!B25,'Edit queue'!B40,'Edit queue'!B43,'Edit queue'!B45,'Edit queue'!B51)</x:f>
        <x:v>1</x:v>
      </x:c>
      <x:c r="E34" s="13" t="str">
        <x:v>The mother's call, the return to the bar and the book left behind.</x:v>
      </x:c>
      <x:c r="F34" s="13" t="str">
        <x:v>Retain the mother’s call, bar and book. Update the talk/try/adapt proposal with a food-first example, personal forecast and room for researched disagreement.</x:v>
      </x:c>
      <x:c r="G34" s="13" t="str">
        <x:v>E01, E03, E09, E10, E11, E17, E32, E35, E37, E43</x:v>
      </x:c>
      <x:c r="H34" s="53" t="str">
        <x:v>Conflict</x:v>
      </x:c>
      <x:c r="I34" s="53" t="str">
        <x:v>Conflict</x:v>
      </x:c>
      <x:c r="J34" s="53" t="str">
        <x:v>Conflict</x:v>
      </x:c>
      <x:c r="K34" s="53" t="str">
        <x:v>Develop</x:v>
      </x:c>
      <x:c r="L34" s="53" t="str">
        <x:v>Conflict</x:v>
      </x:c>
      <x:c r="M34" s="53" t="str">
        <x:v>Conflict</x:v>
      </x:c>
      <x:c r="N34" s="53" t="str">
        <x:v>Conflict</x:v>
      </x:c>
      <x:c r="O34" s="53" t="str">
        <x:v>Verify</x:v>
      </x:c>
      <x:c r="P34" s="52" t="str">
        <x:v>Make the proposal easy to evaluate</x:v>
      </x:c>
      <x:c r="Q34" s="52" t="str">
        <x:v>The invitation includes leaders and specialists without requiring the author to decide for them.</x:v>
      </x:c>
    </x:row>
    <x:row r="35" ht="109.5" customHeight="1">
      <x:c r="A35" s="13" t="str">
        <x:v>appendix-a</x:v>
      </x:c>
      <x:c r="B35" s="13" t="str">
        <x:v>Appendix A: The Municipal Autonomy Code</x:v>
      </x:c>
      <x:c r="C35" s="13" t="str">
        <x:v>257-261</x:v>
      </x:c>
      <x:c r="D35" s="15" t="n">
        <x:f>MIN('Edit queue'!B14,'Edit queue'!B33,'Edit queue'!B39)</x:f>
        <x:v>1</x:v>
      </x:c>
      <x:c r="E35" s="13" t="str">
        <x:v>A concrete civic proposal people can evaluate and discuss.</x:v>
      </x:c>
      <x:c r="F35" s="13" t="str">
        <x:v>Recommend replacing the deployable municipal code with a discussion brief about food access, shared labor, surplus and evidence. Remove legal immunity and automatic override claims.</x:v>
      </x:c>
      <x:c r="G35" s="13" t="str">
        <x:v>E06, E25, E31</x:v>
      </x:c>
      <x:c r="H35" s="53" t="str">
        <x:v>Develop</x:v>
      </x:c>
      <x:c r="I35" s="53" t="str">
        <x:v>Conflict</x:v>
      </x:c>
      <x:c r="J35" s="53" t="str">
        <x:v>Develop</x:v>
      </x:c>
      <x:c r="K35" s="53" t="str">
        <x:v>Develop</x:v>
      </x:c>
      <x:c r="L35" s="53" t="str">
        <x:v>Verify</x:v>
      </x:c>
      <x:c r="M35" s="53" t="str">
        <x:v>n.a.</x:v>
      </x:c>
      <x:c r="N35" s="53" t="str">
        <x:v>Conflict</x:v>
      </x:c>
      <x:c r="O35" s="53" t="str">
        <x:v>Verify</x:v>
      </x:c>
      <x:c r="P35" s="52" t="str">
        <x:v>Offer questions for informed public work</x:v>
      </x:c>
      <x:c r="Q35" s="52" t="str">
        <x:v>Legal, financial, food-system and public institutions develop any actual policy.</x:v>
      </x:c>
    </x:row>
    <x:row r="36" ht="109.5" customHeight="1">
      <x:c r="A36" s="13" t="str">
        <x:v>appendix-b</x:v>
      </x:c>
      <x:c r="B36" s="13" t="str">
        <x:v>Appendix B: Works Cited (Research &amp; Evidence Synthesis)</x:v>
      </x:c>
      <x:c r="C36" s="13" t="str">
        <x:v>262-276</x:v>
      </x:c>
      <x:c r="D36" s="15" t="n">
        <x:f>MIN('Edit queue'!B46,'Edit queue'!B49,'Edit queue'!B50)</x:f>
        <x:v>1</x:v>
      </x:c>
      <x:c r="E36" s="13" t="str">
        <x:v>A substantial starting collection of references.</x:v>
      </x:c>
      <x:c r="F36" s="13" t="str">
        <x:v>Prioritize retained food, robotics and forecast claims; keep publisher claims attributed. GLM-5.2 is already named on page 271. Repair reference layout and rights.</x:v>
      </x:c>
      <x:c r="G36" s="13" t="str">
        <x:v>E38, E41, E42</x:v>
      </x:c>
      <x:c r="H36" s="53" t="str">
        <x:v>n.a.</x:v>
      </x:c>
      <x:c r="I36" s="53" t="str">
        <x:v>n.a.</x:v>
      </x:c>
      <x:c r="J36" s="53" t="str">
        <x:v>n.a.</x:v>
      </x:c>
      <x:c r="K36" s="53" t="str">
        <x:v>n.a.</x:v>
      </x:c>
      <x:c r="L36" s="53" t="str">
        <x:v>n.a.</x:v>
      </x:c>
      <x:c r="M36" s="53" t="str">
        <x:v>Verify</x:v>
      </x:c>
      <x:c r="N36" s="53" t="str">
        <x:v>Conflict</x:v>
      </x:c>
      <x:c r="O36" s="53" t="str">
        <x:v>Verify</x:v>
      </x:c>
      <x:c r="P36" s="52" t="str">
        <x:v>Make evidence usable</x:v>
      </x:c>
      <x:c r="Q36" s="52" t="str">
        <x:v>An evidence register supports the book; it does not certify a system.</x:v>
      </x:c>
    </x:row>
    <x:row r="37" ht="109.5" customHeight="1">
      <x:c r="A37" s="13" t="str">
        <x:v>appendix-c</x:v>
      </x:c>
      <x:c r="B37" s="13" t="str">
        <x:v>Appendix C: Executive Reference Guide</x:v>
      </x:c>
      <x:c r="C37" s="13" t="str">
        <x:v>277-278</x:v>
      </x:c>
      <x:c r="D37" s="15" t="n">
        <x:f>MIN('Edit queue'!B9,'Edit queue'!B10,'Edit queue'!B11,'Edit queue'!B51)</x:f>
        <x:v>1</x:v>
      </x:c>
      <x:c r="E37" s="13" t="str">
        <x:v>A compact reference readers can use in conversation.</x:v>
      </x:c>
      <x:c r="F37" s="13" t="str">
        <x:v>Mirror the mission order, forecast definition and current/future distinction. Do not turn stage possibilities or machine motives into reference facts.</x:v>
      </x:c>
      <x:c r="G37" s="13" t="str">
        <x:v>E01, E02, E03, E43</x:v>
      </x:c>
      <x:c r="H37" s="53" t="str">
        <x:v>Develop</x:v>
      </x:c>
      <x:c r="I37" s="53" t="str">
        <x:v>Conflict</x:v>
      </x:c>
      <x:c r="J37" s="53" t="str">
        <x:v>Develop</x:v>
      </x:c>
      <x:c r="K37" s="53" t="str">
        <x:v>Develop</x:v>
      </x:c>
      <x:c r="L37" s="53" t="str">
        <x:v>Develop</x:v>
      </x:c>
      <x:c r="M37" s="53" t="str">
        <x:v>n.a.</x:v>
      </x:c>
      <x:c r="N37" s="53" t="str">
        <x:v>Conflict</x:v>
      </x:c>
      <x:c r="O37" s="53" t="str">
        <x:v>Verify</x:v>
      </x:c>
      <x:c r="P37" s="52" t="str">
        <x:v>Summarize the actual promise</x:v>
      </x:c>
      <x:c r="Q37" s="52" t="str">
        <x:v>Keep shared responsibilities visible in the condensed version.</x:v>
      </x:c>
    </x:row>
    <x:row r="38" ht="109.5" customHeight="1">
      <x:c r="A38" s="13" t="str">
        <x:v>appendix-d</x:v>
      </x:c>
      <x:c r="B38" s="13" t="str">
        <x:v>Appendix D: The Precedent Ledger</x:v>
      </x:c>
      <x:c r="C38" s="13" t="str">
        <x:v>279-283</x:v>
      </x:c>
      <x:c r="D38" s="15" t="n">
        <x:f>MIN('Edit queue'!B12,'Edit queue'!B19,'Edit queue'!B43,'Edit queue'!B44,'Edit queue'!B45,'Edit queue'!B46)</x:f>
        <x:v>1</x:v>
      </x:c>
      <x:c r="E38" s="13" t="str">
        <x:v>The index and invitation to learn from historical comparisons.</x:v>
      </x:c>
      <x:c r="F38" s="13" t="str">
        <x:v>Keep the 23-case map. Replace universal victory rules with what changed, who benefited, who bore costs and what the comparison cannot establish.</x:v>
      </x:c>
      <x:c r="G38" s="13" t="str">
        <x:v>E04, E11, E35, E36, E37, E38</x:v>
      </x:c>
      <x:c r="H38" s="53" t="str">
        <x:v>Develop</x:v>
      </x:c>
      <x:c r="I38" s="53" t="str">
        <x:v>Conflict</x:v>
      </x:c>
      <x:c r="J38" s="53" t="str">
        <x:v>Conflict</x:v>
      </x:c>
      <x:c r="K38" s="53" t="str">
        <x:v>Develop</x:v>
      </x:c>
      <x:c r="L38" s="53" t="str">
        <x:v>Conflict</x:v>
      </x:c>
      <x:c r="M38" s="53" t="str">
        <x:v>Conflict</x:v>
      </x:c>
      <x:c r="N38" s="53" t="str">
        <x:v>Conflict</x:v>
      </x:c>
      <x:c r="O38" s="53" t="str">
        <x:v>Verify</x:v>
      </x:c>
      <x:c r="P38" s="52" t="str">
        <x:v>Turn history into questions and bounded lessons</x:v>
      </x:c>
      <x:c r="Q38" s="52" t="str">
        <x:v>Institutional adaptation can be part of history without supplying a new universal charter.</x:v>
      </x:c>
    </x:row>
    <x:row r="39" ht="109.5" customHeight="1">
      <x:c r="A39" s="13" t="str">
        <x:v>appendix-e</x:v>
      </x:c>
      <x:c r="B39" s="13" t="str">
        <x:v>Appendix E: The Cyberdeck</x:v>
      </x:c>
      <x:c r="C39" s="13" t="str">
        <x:v>284-289</x:v>
      </x:c>
      <x:c r="D39" s="15" t="n">
        <x:f>MIN('Edit queue'!B20,'Edit queue'!B30,'Edit queue'!B36,'Edit queue'!B38)</x:f>
        <x:v>0</x:v>
      </x:c>
      <x:c r="E39" s="13" t="str">
        <x:v>Repairable, understandable computing as a practical option.</x:v>
      </x:c>
      <x:c r="F39" s="13" t="str">
        <x:v>Retain repairable computing. Offer an existing-phone/device route and reconcile networking claims; no cyberdeck is required for a food or mutual-aid first step.</x:v>
      </x:c>
      <x:c r="G39" s="13" t="str">
        <x:v>E12, E22, E28, E30</x:v>
      </x:c>
      <x:c r="H39" s="53" t="str">
        <x:v>Retain</x:v>
      </x:c>
      <x:c r="I39" s="53" t="str">
        <x:v>Develop</x:v>
      </x:c>
      <x:c r="J39" s="53" t="str">
        <x:v>n.a.</x:v>
      </x:c>
      <x:c r="K39" s="53" t="str">
        <x:v>Develop</x:v>
      </x:c>
      <x:c r="L39" s="53" t="str">
        <x:v>Develop</x:v>
      </x:c>
      <x:c r="M39" s="53" t="str">
        <x:v>Verify</x:v>
      </x:c>
      <x:c r="N39" s="53" t="str">
        <x:v>Conflict</x:v>
      </x:c>
      <x:c r="O39" s="53" t="str">
        <x:v>Verify</x:v>
      </x:c>
      <x:c r="P39" s="52" t="str">
        <x:v>Keep custom computing optional</x:v>
      </x:c>
      <x:c r="Q39" s="52" t="str">
        <x:v>Custom systems remain optional work with their own technical responsibilities.</x:v>
      </x:c>
    </x:row>
    <x:row r="42">
      <x:c r="A42" s="34" t="str">
        <x:v>Passage review: 155 recommendations, including 55 with revised detailed treatment. Argument tests: 16 reassessed plus four new objection tests.</x:v>
      </x:c>
    </x:row>
    <x:row r="44">
      <x:c r="A44" t="str">
        <x:v>Review changes are proposals. Author decisions and notes are preserved. r002 and the original PDF are unchanged.</x:v>
      </x:c>
    </x:row>
  </x:sheetData>
  <x:conditionalFormatting sqref="H9:O39">
    <x:cfRule type="expression" dxfId="3" priority="1">
      <x:formula>H9="Conflict"</x:formula>
    </x:cfRule>
    <x:cfRule type="expression" dxfId="4" priority="2">
      <x:formula>H9="Verify"</x:formula>
    </x:cfRule>
    <x:cfRule type="expression" dxfId="5" priority="3">
      <x:formula>H9="Develop"</x:formula>
    </x:cfRule>
    <x:cfRule type="expression" dxfId="6" priority="4">
      <x:formula>H9="Retain"</x:formula>
    </x:cfRule>
    <x:cfRule type="expression" dxfId="7" priority="5">
      <x:formula>H9="n.a."</x:formula>
    </x:cfRule>
  </x:conditionalFormatting>
  <x:conditionalFormatting sqref="D9:D39">
    <x:cfRule type="expression" dxfId="8" priority="6">
      <x:formula>D9=0</x:formula>
    </x:cfRule>
    <x:cfRule type="expression" dxfId="9" priority="7">
      <x:formula>D9=1</x:formula>
    </x:cfRule>
  </x:conditionalFormatting>
  <x:pageMargins left="0.7" right="0.7" top="0.75" bottom="0.75" header="0.3" footer="0.3"/>
  <x:tableParts count="1">
    <x:tablePart xmlns:r="http://schemas.openxmlformats.org/officeDocument/2006/relationships" r:id="Rfde8a02a15584d92"/>
  </x:tableParts>
</x:worksheet>
</file>

<file path=xl/worksheets/sheet2.xml><?xml version="1.0" encoding="utf-8"?>
<x:worksheet xmlns:x="http://schemas.openxmlformats.org/spreadsheetml/2006/main">
  <x:sheetPr>
    <x:tabColor rgb="FF49637D"/>
  </x:sheetPr>
  <x:sheetViews>
    <x:sheetView showGridLines="0" workbookViewId="0">
      <x:pane xSplit="3" ySplit="8" topLeftCell="D9" activePane="bottomRight" state="frozen"/>
    </x:sheetView>
  </x:sheetViews>
  <x:sheetFormatPr defaultRowHeight="15"/>
  <x:cols>
    <x:col min="1" max="1" width="7.21999979019165" hidden="0" customWidth="1"/>
    <x:col min="2" max="2" width="6.670000076293945" hidden="0" customWidth="1"/>
    <x:col min="3" max="3" width="31.110000610351562" hidden="0" customWidth="1"/>
    <x:col min="4" max="4" width="12.220000267028809" hidden="0" customWidth="1"/>
    <x:col min="5" max="5" width="53.33000183105469" hidden="0" customWidth="1"/>
    <x:col min="6" max="6" width="45.560001373291016" hidden="0" customWidth="1"/>
    <x:col min="7" max="7" width="13.329999923706055" hidden="0" customWidth="1"/>
    <x:col min="8" max="8" width="30" hidden="0" customWidth="1"/>
    <x:col min="9" max="9" width="43.88999938964844" hidden="0" customWidth="1"/>
    <x:col min="10" max="10" width="24.440000534057617" hidden="0" customWidth="1"/>
    <x:col min="11" max="11" width="20" hidden="0" customWidth="1"/>
    <x:col min="12" max="12" width="17.780000686645508" hidden="0" customWidth="1"/>
    <x:col min="13" max="13" width="17.780000686645508" hidden="0" customWidth="1"/>
    <x:col min="14" max="14" width="36.66999816894531" hidden="0" customWidth="1"/>
    <x:col min="15" max="15" width="22.780000686645508" hidden="0" customWidth="1"/>
    <x:col min="16" max="16" width="43.33000183105469" hidden="0" customWidth="1"/>
  </x:cols>
  <x:sheetData>
    <x:row r="1" ht="18" customHeight="1">
      <x:c r="A1" s="2"/>
      <x:c r="B1" s="2"/>
      <x:c r="C1" s="2"/>
      <x:c r="D1" s="2"/>
      <x:c r="E1" s="2"/>
      <x:c r="F1" s="2"/>
      <x:c r="G1" s="2"/>
      <x:c r="H1" s="2"/>
      <x:c r="I1" s="2"/>
      <x:c r="J1" s="2"/>
      <x:c r="K1" s="2"/>
      <x:c r="L1" s="2"/>
      <x:c r="M1" s="2"/>
      <x:c r="N1" s="2"/>
    </x:row>
    <x:row r="2" ht="27" customHeight="1">
      <x:c r="A2" s="3" t="str">
        <x:v>Editing recommendations</x:v>
      </x:c>
      <x:c r="B2" s="2"/>
      <x:c r="C2" s="2"/>
      <x:c r="D2" s="2"/>
      <x:c r="E2" s="2"/>
      <x:c r="F2" s="2"/>
      <x:c r="G2" s="2"/>
      <x:c r="H2" s="2"/>
      <x:c r="I2" s="2"/>
      <x:c r="J2" s="2"/>
      <x:c r="K2" s="2"/>
      <x:c r="L2" s="2"/>
      <x:c r="M2" s="2"/>
      <x:c r="N2" s="2"/>
    </x:row>
    <x:row r="3" ht="18" customHeight="1">
      <x:c r="A3" s="4" t="str">
        <x:v>Food-first review | A09–A11 | All 45 recommendations reassessed | Amber author decisions and notes preserved.</x:v>
      </x:c>
      <x:c r="B3" s="2"/>
      <x:c r="C3" s="2"/>
      <x:c r="D3" s="2"/>
      <x:c r="E3" s="2"/>
      <x:c r="F3" s="2"/>
      <x:c r="G3" s="2"/>
      <x:c r="H3" s="2"/>
      <x:c r="I3" s="2"/>
      <x:c r="J3" s="2"/>
      <x:c r="K3" s="2"/>
      <x:c r="L3" s="2"/>
      <x:c r="M3" s="2"/>
      <x:c r="N3" s="2"/>
    </x:row>
    <x:row r="4" ht="18" customHeight="1">
      <x:c r="A4" s="2"/>
      <x:c r="B4" s="2"/>
      <x:c r="C4" s="2"/>
      <x:c r="D4" s="2"/>
      <x:c r="E4" s="2"/>
      <x:c r="F4" s="2"/>
      <x:c r="G4" s="2"/>
      <x:c r="H4" s="2"/>
      <x:c r="I4" s="2"/>
      <x:c r="J4" s="2"/>
      <x:c r="K4" s="2"/>
      <x:c r="L4" s="2"/>
      <x:c r="M4" s="2"/>
      <x:c r="N4" s="2"/>
    </x:row>
    <x:row r="5" ht="18" customHeight="1">
      <x:c r="A5" s="2" t="str">
        <x:v>Total edits</x:v>
      </x:c>
      <x:c r="B5" s="2" t="n">
        <x:f>COUNTA(A9:A53)</x:f>
        <x:v>45</x:v>
      </x:c>
      <x:c r="C5" s="2" t="str">
        <x:v>Unreviewed</x:v>
      </x:c>
      <x:c r="D5" s="2" t="n">
        <x:f>COUNTIF(G9:G53,"Unreviewed")</x:f>
        <x:v>45</x:v>
      </x:c>
      <x:c r="E5" s="2"/>
      <x:c r="F5" s="2"/>
      <x:c r="G5" s="2"/>
      <x:c r="H5" s="2"/>
      <x:c r="I5" s="2"/>
      <x:c r="J5" s="2"/>
      <x:c r="K5" s="2"/>
      <x:c r="L5" s="2"/>
      <x:c r="M5" s="2"/>
      <x:c r="N5" s="2"/>
    </x:row>
    <x:row r="6" ht="18" customHeight="1">
      <x:c r="A6" s="2" t="str">
        <x:v>P0: correct, narrow or remove the publication claim. A full institutional or engineered system is not an author prerequisite.</x:v>
      </x:c>
      <x:c r="B6" s="2"/>
      <x:c r="C6" s="2"/>
      <x:c r="D6" s="2"/>
      <x:c r="E6" s="2"/>
      <x:c r="F6" s="2"/>
      <x:c r="G6" s="2"/>
      <x:c r="H6" s="2"/>
      <x:c r="I6" s="2"/>
      <x:c r="J6" s="2"/>
      <x:c r="K6" s="2"/>
      <x:c r="L6" s="2"/>
      <x:c r="M6" s="2"/>
      <x:c r="N6" s="2"/>
    </x:row>
    <x:row r="7" ht="18" customHeight="1">
      <x:c r="A7" s="2"/>
      <x:c r="B7" s="2"/>
      <x:c r="C7" s="2"/>
      <x:c r="D7" s="2"/>
      <x:c r="E7" s="2"/>
      <x:c r="F7" s="2"/>
      <x:c r="G7" s="2"/>
      <x:c r="H7" s="2"/>
      <x:c r="I7" s="2"/>
      <x:c r="J7" s="2"/>
      <x:c r="K7" s="2"/>
      <x:c r="L7" s="2"/>
      <x:c r="M7" s="2"/>
      <x:c r="N7" s="2"/>
    </x:row>
    <x:row r="8" ht="31.5" customHeight="1">
      <x:c r="A8" s="43" t="str">
        <x:v>ID</x:v>
      </x:c>
      <x:c r="B8" s="44" t="str">
        <x:v>Priority</x:v>
      </x:c>
      <x:c r="C8" s="44" t="str">
        <x:v>Editing recommendation</x:v>
      </x:c>
      <x:c r="D8" s="44" t="str">
        <x:v>PDF pages</x:v>
      </x:c>
      <x:c r="E8" s="44" t="str">
        <x:v>Proposed change</x:v>
      </x:c>
      <x:c r="F8" s="44" t="str">
        <x:v>Completion test</x:v>
      </x:c>
      <x:c r="G8" s="44" t="str">
        <x:v>Author decision</x:v>
      </x:c>
      <x:c r="H8" s="44" t="str">
        <x:v>Your notes</x:v>
      </x:c>
      <x:c r="I8" s="44" t="str">
        <x:v>Issue in the original PDF</x:v>
      </x:c>
      <x:c r="J8" s="44" t="str">
        <x:v>Affected sections</x:v>
      </x:c>
      <x:c r="K8" s="44" t="str">
        <x:v>Criteria</x:v>
      </x:c>
      <x:c r="L8" s="44" t="str">
        <x:v>Earlier finding IDs</x:v>
      </x:c>
      <x:c r="M8" s="44" t="str">
        <x:v>Source IDs</x:v>
      </x:c>
      <x:c r="N8" s="45" t="str">
        <x:v>Suggested wording</x:v>
      </x:c>
      <x:c r="O8" s="50" t="str">
        <x:v>Scope disposition</x:v>
      </x:c>
      <x:c r="P8" s="50" t="str">
        <x:v>Responsibility / further work</x:v>
      </x:c>
    </x:row>
    <x:row r="9" ht="106.5" customHeight="1">
      <x:c r="A9" s="13" t="str">
        <x:v>E01</x:v>
      </x:c>
      <x:c r="B9" s="15" t="n">
        <x:v>1</x:v>
      </x:c>
      <x:c r="C9" s="13" t="str">
        <x:v>Keep the personal AGI date separate from deployment</x:v>
      </x:c>
      <x:c r="D9" s="13" t="str">
        <x:v>7, 31, 254, 277, 278</x:v>
      </x:c>
      <x:c r="E9" s="13" t="str">
        <x:v>Retain Thanksgiving 2027, November 25, as the personal AGI forecast and preserve the because joke. Define the intended capability. Separate recursive improvement, useful robotics, affordable services and access. The food-first program must remain useful on a different timetable.</x:v>
      </x:c>
      <x:c r="F9" s="13" t="str">
        <x:v>Every retained date and graphic distinguishes the personal forecast from RSI and service availability. No useful first step requires AGI to arrive on schedule.</x:v>
      </x:c>
      <x:c r="G9" s="14" t="str">
        <x:v>Unreviewed</x:v>
      </x:c>
      <x:c r="H9" s="14"/>
      <x:c r="I9" s="13" t="str">
        <x:v>Page 254 promises certain unassisted recursive improvement; the author now explicitly predicts AGI with unpredictable timing.</x:v>
      </x:c>
      <x:c r="J9" s="13" t="str">
        <x:v>appendix-c, chapter-01, chapter-02, conclusion, introduction, part-iii</x:v>
      </x:c>
      <x:c r="K9" s="13" t="str">
        <x:v>Forecasts, Coherence</x:v>
      </x:c>
      <x:c r="L9" s="13" t="str">
        <x:v>C01</x:v>
      </x:c>
      <x:c r="M9" s="13" t="str">
        <x:v>S02, S21</x:v>
      </x:c>
      <x:c r="N9" s="13" t="str"/>
      <x:c r="O9" s="52" t="str">
        <x:v>Retain correction</x:v>
      </x:c>
      <x:c r="P9" s="52" t="str">
        <x:v>Author/editor: forecast language and dependent summaries.</x:v>
      </x:c>
    </x:row>
    <x:row r="10" ht="106.5" customHeight="1">
      <x:c r="A10" s="13" t="str">
        <x:v>E02</x:v>
      </x:c>
      <x:c r="B10" s="15" t="n">
        <x:v>1</x:v>
      </x:c>
      <x:c r="C10" s="13" t="str">
        <x:v>Keep the large future as a conditional horizon</x:v>
      </x:c>
      <x:c r="D10" s="13" t="str">
        <x:v>31, 46, 51, 56, 58, 65, 278</x:v>
      </x:c>
      <x:c r="E10" s="13" t="str">
        <x:v>Preserve the imaginative stages, but mark them as scenarios. Keep biology, machine departure and space settlement as later horizons. Give practical weight to food, land care, trash cleanup and then shelter; avoid making that work depend on the whole future occurring.</x:v>
      </x:c>
      <x:c r="F10" s="13" t="str">
        <x:v>The sequence has explicit assumptions and does not present cures, alignment or colonization as necessary consequences of intelligence.</x:v>
      </x:c>
      <x:c r="G10" s="14" t="str">
        <x:v>Unreviewed</x:v>
      </x:c>
      <x:c r="H10" s="14"/>
      <x:c r="I10" s="13" t="str">
        <x:v>The stage summaries prescribe machine motives and outcomes more confidently than the discussion of uncertainty permits.</x:v>
      </x:c>
      <x:c r="J10" s="13" t="str">
        <x:v>appendix-c, chapter-01, chapter-02, chapter-03, chapter-04, chapter-05, introduction, part-i</x:v>
      </x:c>
      <x:c r="K10" s="13" t="str">
        <x:v>Forecasts, Hope, Evidence</x:v>
      </x:c>
      <x:c r="L10" s="13" t="str">
        <x:v>C02 C11 C45</x:v>
      </x:c>
      <x:c r="M10" s="13" t="str">
        <x:v>S04, S05</x:v>
      </x:c>
      <x:c r="N10" s="13" t="str"/>
      <x:c r="O10" s="52" t="str">
        <x:v>Defer broader horizon</x:v>
      </x:c>
      <x:c r="P10" s="52" t="str">
        <x:v>Author/editor: distinguish scenario from actionable premise.</x:v>
      </x:c>
    </x:row>
    <x:row r="11" ht="106.5" customHeight="1">
      <x:c r="A11" s="13" t="str">
        <x:v>E03</x:v>
      </x:c>
      <x:c r="B11" s="15" t="n">
        <x:v>1</x:v>
      </x:c>
      <x:c r="C11" s="13" t="str">
        <x:v>State the food-first promise at the opening</x:v>
      </x:c>
      <x:c r="D11" s="13" t="str">
        <x:v>6, 11, 254</x:v>
      </x:c>
      <x:c r="E11" s="13" t="str">
        <x:v>Keep the question about renting survival and the moral urgency. State the mission order: food, other land management, trash cleanup, shelter, then further applications. Invite curious discussion and useful trials. Remove mental-control absolutes and assumed reader motives.</x:v>
      </x:c>
      <x:c r="F11" s="13" t="str">
        <x:v>A reader can name the book’s practical focus, find a first action and understand that institutions and public deliberation have their own work to do.</x:v>
      </x:c>
      <x:c r="G11" s="14" t="str">
        <x:v>Unreviewed</x:v>
      </x:c>
      <x:c r="H11" s="14"/>
      <x:c r="I11" s="13" t="str">
        <x:v>The preface offers alternatives to catastrophe but also claims nothing can own the mind without permission; later exhortations assume disbelief and cowardice.</x:v>
      </x:c>
      <x:c r="J11" s="13" t="str">
        <x:v>conclusion, introduction, preface</x:v>
      </x:c>
      <x:c r="K11" s="13" t="str">
        <x:v>Hope, People, Practice</x:v>
      </x:c>
      <x:c r="L11" s="13"/>
      <x:c r="M11" s="13"/>
      <x:c r="N11" s="13" t="str"/>
      <x:c r="O11" s="52" t="str">
        <x:v>Refocus on mission</x:v>
      </x:c>
      <x:c r="P11" s="52" t="str">
        <x:v>Author/editor: scope and reader invitation.</x:v>
      </x:c>
    </x:row>
    <x:row r="12" ht="106.5" customHeight="1">
      <x:c r="A12" s="13" t="str">
        <x:v>E04</x:v>
      </x:c>
      <x:c r="B12" s="15" t="n">
        <x:v>1</x:v>
      </x:c>
      <x:c r="C12" s="13" t="str">
        <x:v>Explain resistance without assigning moral castes</x:v>
      </x:c>
      <x:c r="D12" s="13" t="str">
        <x:v>52, 69, 83, 85, 90</x:v>
      </x:c>
      <x:c r="E12" s="13" t="str">
        <x:v>Preserve Denny and the dinner scene. Replace demographic sorting and universal ego claims with incentives, losses, habits and conduct. Let informed disagreement improve the plan. The invitation to collective learning must also include people who are skeptical. Address objections about dependency and jobs in their strongest reasonable form; do not use the laundromat comparison to ridicule worried workers.</x:v>
      </x:c>
      <x:c r="F12" s="13" t="str">
        <x:v>No generation or class of critic is assigned a universal motive or lack of empathy. Harmful obstruction is described through observable actions.</x:v>
      </x:c>
      <x:c r="G12" s="14" t="str">
        <x:v>Unreviewed</x:v>
      </x:c>
      <x:c r="H12" s="14"/>
      <x:c r="I12" s="13" t="str">
        <x:v>The sympathetic scene on pages 83-85 is followed by a table that divides demographics into low-empathy resisters and ready recipients.</x:v>
      </x:c>
      <x:c r="J12" s="13" t="str">
        <x:v>appendix-d, chapter-03, chapter-04, chapter-05, chapter-07</x:v>
      </x:c>
      <x:c r="K12" s="13" t="str">
        <x:v>People, Hope, History</x:v>
      </x:c>
      <x:c r="L12" s="13" t="str">
        <x:v>C12</x:v>
      </x:c>
      <x:c r="M12" s="13"/>
      <x:c r="N12" s="13" t="str"/>
      <x:c r="O12" s="52" t="str">
        <x:v>Retain correction</x:v>
      </x:c>
      <x:c r="P12" s="52" t="str">
        <x:v>Author/editor: fair characterization consistent with open discussion.</x:v>
      </x:c>
    </x:row>
    <x:row r="13" ht="106.5" customHeight="1">
      <x:c r="A13" s="13" t="str">
        <x:v>E05</x:v>
      </x:c>
      <x:c r="B13" s="15" t="n">
        <x:v>0</x:v>
      </x:c>
      <x:c r="C13" s="13" t="str">
        <x:v>Resolve deprivation as an endorsed enforcement tool</x:v>
      </x:c>
      <x:c r="D13" s="13" t="str">
        <x:v>113, 122, 170, 247</x:v>
      </x:c>
      <x:c r="E13" s="13" t="str">
        <x:v>Distinguish the prediction that coercive access persists from the book’s recommendation for mutual aid. Remove or recast approval of starvation, social death or loss of essentials as compliance tools. Identify allocation and disputes as collective questions; do not require the author to supply a finished survival-floor policy.</x:v>
      </x:c>
      <x:c r="F13" s="13" t="str">
        <x:v>The book no longer endorses a coercive remedy that contradicts its stated aim of reducing needless suffering. Any fictional rule is clearly attributed and open to criticism, with unresolved institutional questions acknowledged.</x:v>
      </x:c>
      <x:c r="G13" s="14" t="str">
        <x:v>Unreviewed</x:v>
      </x:c>
      <x:c r="H13" s="14"/>
      <x:c r="I13" s="13" t="str">
        <x:v>Page 113 proposes near-infinite deprivation as an incentive while other passages promise an unconditional survival floor.</x:v>
      </x:c>
      <x:c r="J13" s="13" t="str">
        <x:v>chapter-08, chapter-09, chapter-12, chapter-18</x:v>
      </x:c>
      <x:c r="K13" s="13" t="str">
        <x:v>Access, Hope, Coherence</x:v>
      </x:c>
      <x:c r="L13" s="13" t="str">
        <x:v>C03</x:v>
      </x:c>
      <x:c r="M13" s="13"/>
      <x:c r="N13" s="13" t="str">
        <x:v>Access will still be contested. My focus is expanding useful help; the rules for providing it need informed public work.</x:v>
      </x:c>
      <x:c r="O13" s="52" t="str">
        <x:v>Narrow claim; share decisions</x:v>
      </x:c>
      <x:c r="P13" s="52" t="str">
        <x:v>Author/editor: remove contradiction. Affected public and informed specialists: develop actual arrangements.</x:v>
      </x:c>
    </x:row>
    <x:row r="14" ht="106.5" customHeight="1">
      <x:c r="A14" s="13" t="str">
        <x:v>E06</x:v>
      </x:c>
      <x:c r="B14" s="15" t="n">
        <x:v>1</x:v>
      </x:c>
      <x:c r="C14" s="13" t="str">
        <x:v>Move governance design into collective deliberation</x:v>
      </x:c>
      <x:c r="D14" s="13" t="str">
        <x:v>90, 116, 121, 122, 164, 244, 257</x:v>
      </x:c>
      <x:c r="E14" s="13" t="str">
        <x:v>Replace the implied mandate of engineers, universal charter and topology-as-fairness claims with bounded examples and open questions. Distinguish technical operation from authority over people. The text can ask who decides, who is heard and how evidence is challenged without drafting the answer.</x:v>
      </x:c>
      <x:c r="F14" s="13" t="str">
        <x:v>No one actor or network architecture is presented as sufficient to govern a community. The book calls for informed experts and affected people to learn together and reach decisions grounded in researched evidence.</x:v>
      </x:c>
      <x:c r="G14" s="14" t="str">
        <x:v>Unreviewed</x:v>
      </x:c>
      <x:c r="H14" s="14"/>
      <x:c r="I14" s="13" t="str">
        <x:v>Decentralization, mandatory central control and rejection of contracts currently compete with the written agreements that make the community work.</x:v>
      </x:c>
      <x:c r="J14" s="13" t="str">
        <x:v>appendix-a, chapter-07, chapter-08, chapter-09, chapter-12, chapter-18</x:v>
      </x:c>
      <x:c r="K14" s="13" t="str">
        <x:v>Access, Coherence</x:v>
      </x:c>
      <x:c r="L14" s="13" t="str">
        <x:v>C04 C05</x:v>
      </x:c>
      <x:c r="M14" s="13"/>
      <x:c r="N14" s="13" t="str">
        <x:v>Building the tools and deciding the rules are connected kinds of work. The decisions need the people affected and the people with relevant expertise at the table.</x:v>
      </x:c>
      <x:c r="O14" s="52" t="str">
        <x:v>Redirect collective design</x:v>
      </x:c>
      <x:c r="P14" s="52" t="str">
        <x:v>Author/editor: accurate framing. Institutions, specialists and affected public: governance design and decisions.</x:v>
      </x:c>
    </x:row>
    <x:row r="15" ht="106.5" customHeight="1">
      <x:c r="A15" s="13" t="str">
        <x:v>E07</x:v>
      </x:c>
      <x:c r="B15" s="15" t="n">
        <x:v>1</x:v>
      </x:c>
      <x:c r="C15" s="13" t="str">
        <x:v>Make free assistance plausible without designing an economy</x:v>
      </x:c>
      <x:c r="D15" s="13" t="str">
        <x:v>32, 45, 79, 149, 156, 165, 248</x:v>
      </x:c>
      <x:c r="E15" s="13" t="str">
        <x:v>Replace zero-cost and forever guarantees. In a worked example, identify an illustrative shared service or pooled budget and acknowledge equipment, energy and upkeep. Explain free to the recipient. Do not require a complete financing, insurance or procurement model as a condition of describing the possibility.</x:v>
      </x:c>
      <x:c r="F15" s="13" t="str">
        <x:v>The example makes its access and cost assumptions visible and does not promise an available service without evidence. Unresolved provision questions are explicitly collective work.</x:v>
      </x:c>
      <x:c r="G15" s="14" t="str">
        <x:v>Unreviewed</x:v>
      </x:c>
      <x:c r="H15" s="14"/>
      <x:c r="I15" s="13" t="str">
        <x:v>The argument slides from inexpensive inference to free physical survival while its own examples need scarce equipment and repairs.</x:v>
      </x:c>
      <x:c r="J15" s="13" t="str">
        <x:v>chapter-01, chapter-02, chapter-06, chapter-11, chapter-12, chapter-18, introduction</x:v>
      </x:c>
      <x:c r="K15" s="13" t="str">
        <x:v>Access, Forecasts, Coherence</x:v>
      </x:c>
      <x:c r="L15" s="13" t="str">
        <x:v>C06 C07</x:v>
      </x:c>
      <x:c r="M15" s="13"/>
      <x:c r="N15" s="13" t="str"/>
      <x:c r="O15" s="52" t="str">
        <x:v>Bound the example</x:v>
      </x:c>
      <x:c r="P15" s="52" t="str">
        <x:v>Author/editor: visible assumptions. Service partners: actual budget and provision.</x:v>
      </x:c>
    </x:row>
    <x:row r="16" ht="106.5" customHeight="1">
      <x:c r="A16" s="13" t="str">
        <x:v>E08</x:v>
      </x:c>
      <x:c r="B16" s="15" t="n">
        <x:v>1</x:v>
      </x:c>
      <x:c r="C16" s="13" t="str">
        <x:v>Keep physical and organizational constraints in view</x:v>
      </x:c>
      <x:c r="D16" s="13" t="str">
        <x:v>65, 79, 245</x:v>
      </x:c>
      <x:c r="E16" s="13" t="str">
        <x:v>Replace the psychology-only bottleneck in Part II and Chapter 6. Use Marta’s scarce skill and the food task chain to show remaining equipment, labor, inputs, coordination and access. Curiosity can help with each without eliminating it.</x:v>
      </x:c>
      <x:c r="F16" s="13" t="str">
        <x:v>Attitudes are one influence among concrete constraints. The book can propose progress before every constraint is solved.</x:v>
      </x:c>
      <x:c r="G16" s="14" t="str">
        <x:v>Unreviewed</x:v>
      </x:c>
      <x:c r="H16" s="14"/>
      <x:c r="I16" s="13" t="str">
        <x:v>The claim that the bottleneck is not technical or logistical conflicts with the energy discussion and shortage of qualified welding capacity.</x:v>
      </x:c>
      <x:c r="J16" s="13" t="str">
        <x:v>chapter-05, chapter-06, chapter-18</x:v>
      </x:c>
      <x:c r="K16" s="13" t="str">
        <x:v>People, Access, Practice</x:v>
      </x:c>
      <x:c r="L16" s="13" t="str">
        <x:v>C08</x:v>
      </x:c>
      <x:c r="M16" s="13"/>
      <x:c r="N16" s="13" t="str"/>
      <x:c r="O16" s="52" t="str">
        <x:v>Retain correction</x:v>
      </x:c>
      <x:c r="P16" s="52" t="str">
        <x:v>Author/editor: causal account and attainable actions.</x:v>
      </x:c>
    </x:row>
    <x:row r="17" ht="106.5" customHeight="1">
      <x:c r="A17" s="13" t="str">
        <x:v>E09</x:v>
      </x:c>
      <x:c r="B17" s="15" t="n">
        <x:v>1</x:v>
      </x:c>
      <x:c r="C17" s="13" t="str">
        <x:v>Make participation and thriving accessible</x:v>
      </x:c>
      <x:c r="D17" s="13" t="str">
        <x:v>138, 141</x:v>
      </x:c>
      <x:c r="E17" s="13" t="str">
        <x:v>Keep Denny’s creative agency. Remove productivity as a condition of deserving help. Offer observing, planning, coordinating, learning, caring and receiving assistance alongside building and physical labor. No land purchase or equipment ownership is an entry fee. Distinguish relief from chores from the opportunity to learn, move, create and participate; do not claim automation can never encourage passivity.</x:v>
      </x:c>
      <x:c r="F17" s="13" t="str">
        <x:v>The food-first path includes readers with limited money, time or mobility. Rest, art and care remain legitimate outcomes.</x:v>
      </x:c>
      <x:c r="G17" s="14" t="str">
        <x:v>Unreviewed</x:v>
      </x:c>
      <x:c r="H17" s="14"/>
      <x:c r="I17" s="13" t="str">
        <x:v>Chapter 10 ties survival to a create/consume ratio and physical work, narrower than the author's promise to reduce suffering.</x:v>
      </x:c>
      <x:c r="J17" s="13" t="str">
        <x:v>chapter-10, chapter-12, conclusion</x:v>
      </x:c>
      <x:c r="K17" s="13" t="str">
        <x:v>Hope, Access, Practice</x:v>
      </x:c>
      <x:c r="L17" s="13"/>
      <x:c r="M17" s="13"/>
      <x:c r="N17" s="13" t="str"/>
      <x:c r="O17" s="52" t="str">
        <x:v>Refocus on mission</x:v>
      </x:c>
      <x:c r="P17" s="52" t="str">
        <x:v>Author/editor: reader routes and dignity.</x:v>
      </x:c>
    </x:row>
    <x:row r="18" ht="106.5" customHeight="1">
      <x:c r="A18" s="13" t="str">
        <x:v>E10</x:v>
      </x:c>
      <x:c r="B18" s="15" t="n">
        <x:v>1</x:v>
      </x:c>
      <x:c r="C18" s="13" t="str">
        <x:v>Give talk, try, adapt a food-first application</x:v>
      </x:c>
      <x:c r="D18" s="13" t="str">
        <x:v>251, 255</x:v>
      </x:c>
      <x:c r="E18" s="13" t="str">
        <x:v>Retain the prepared closing framework and final fictional scene. Before using its patch, integrate one food or mutual-aid task into the conversation, trial and review. Explain how evidence changes the plan. Keep wide lens, narrow focus.</x:v>
      </x:c>
      <x:c r="F18" s="13" t="str">
        <x:v>The ending offers an attainable conversation, a bounded trial and a review, with later collective decisions left visible. The current closing patch remains proposed until its updated text is reviewed.</x:v>
      </x:c>
      <x:c r="G18" s="14" t="str">
        <x:v>Unreviewed</x:v>
      </x:c>
      <x:c r="H18" s="14"/>
      <x:c r="I18" s="13" t="str">
        <x:v>The current ending says stop arguing and assumes the singularity has arrived. The author's latest direction explicitly invites exploration and criticism.</x:v>
      </x:c>
      <x:c r="J18" s="13" t="str">
        <x:v>conclusion</x:v>
      </x:c>
      <x:c r="K18" s="13" t="str">
        <x:v>Practice, Hope, Coherence</x:v>
      </x:c>
      <x:c r="L18" s="13"/>
      <x:c r="M18" s="13"/>
      <x:c r="N18" s="13" t="str"/>
      <x:c r="O18" s="52" t="str">
        <x:v>Refocus on mission</x:v>
      </x:c>
      <x:c r="P18" s="52" t="str">
        <x:v>Author/editor: revise proposal and dependent conclusion rules.</x:v>
      </x:c>
    </x:row>
    <x:row r="19" ht="106.5" customHeight="1">
      <x:c r="A19" s="13" t="str">
        <x:v>E11</x:v>
      </x:c>
      <x:c r="B19" s="15" t="n">
        <x:v>1</x:v>
      </x:c>
      <x:c r="C19" s="13" t="str">
        <x:v>Let practical results revise optimism and doubt</x:v>
      </x:c>
      <x:c r="D19" s="13" t="str">
        <x:v>256, 279, 281</x:v>
      </x:c>
      <x:c r="E19" s="13" t="str">
        <x:v>Make the receipts log test enthusiastic, pessimistic and personal claims alike. Pick a modest task, comparison and useful outcome. A failed trial, a valid concern or an unnecessary tool is information. Keep mutual aid as the goal without preselecting a winning technology. In a cleanup trial, consider whether less debris remains overall, whether waste creation changes and whether a simpler existing method works better.</x:v>
      </x:c>
      <x:c r="F19" s="13" t="str">
        <x:v>A reader can reject or revise a tool without being called a failed optimist. Claims change in response to evidence, including inconvenient results.</x:v>
      </x:c>
      <x:c r="G19" s="14" t="str">
        <x:v>Unreviewed</x:v>
      </x:c>
      <x:c r="H19" s="14"/>
      <x:c r="I19" s="13" t="str">
        <x:v>P-23 collects dismissals and says only physical or mathematical limits should change a plan. Appendix D turns those lessons into universal rules.</x:v>
      </x:c>
      <x:c r="J19" s="13" t="str">
        <x:v>appendix-d, chapter-01, chapter-07, chapter-10, chapter-11, chapter-13, chapter-17, conclusion</x:v>
      </x:c>
      <x:c r="K19" s="13" t="str">
        <x:v>Practice, History, People</x:v>
      </x:c>
      <x:c r="L19" s="13"/>
      <x:c r="M19" s="13"/>
      <x:c r="N19" s="13" t="str"/>
      <x:c r="O19" s="52" t="str">
        <x:v>Retain correction</x:v>
      </x:c>
      <x:c r="P19" s="52" t="str">
        <x:v>Author/editor: balanced exercises; readers and partners: bounded trials.</x:v>
      </x:c>
    </x:row>
    <x:row r="20" ht="106.5" customHeight="1">
      <x:c r="A20" s="13" t="str">
        <x:v>E12</x:v>
      </x:c>
      <x:c r="B20" s="15" t="n">
        <x:v>1</x:v>
      </x:c>
      <x:c r="C20" s="13" t="str">
        <x:v>Keep scientific evidence within its scope</x:v>
      </x:c>
      <x:c r="D20" s="13" t="str">
        <x:v>28, 33, 34, 142, 287</x:v>
      </x:c>
      <x:c r="E20" s="13" t="str">
        <x:v>Separate architecture papers, learning experiments, efficiency comparisons and actual system performance. Use consistent intelligence vocabulary. Do not ask technical findings to prove either a precise AGI date or an entire food-production system.</x:v>
      </x:c>
      <x:c r="F20" s="13" t="str">
        <x:v>The source supports the retained sentence. Simplified experiments and partial calculations are not presented as whole-system validation.</x:v>
      </x:c>
      <x:c r="G20" s="14" t="str">
        <x:v>Unreviewed</x:v>
      </x:c>
      <x:c r="H20" s="14"/>
      <x:c r="I20" s="13" t="str">
        <x:v>Research examples are asked to prove a larger forecast, while later prose changes its definition of intelligence.</x:v>
      </x:c>
      <x:c r="J20" s="13" t="str">
        <x:v>appendix-e, chapter-01, chapter-10</x:v>
      </x:c>
      <x:c r="K20" s="13" t="str">
        <x:v>Evidence, Forecasts, Coherence</x:v>
      </x:c>
      <x:c r="L20" s="13" t="str">
        <x:v>C10 C44</x:v>
      </x:c>
      <x:c r="M20" s="13" t="str">
        <x:v>S01, S03</x:v>
      </x:c>
      <x:c r="N20" s="13" t="str"/>
      <x:c r="O20" s="52" t="str">
        <x:v>Retain correction</x:v>
      </x:c>
      <x:c r="P20" s="52" t="str">
        <x:v>Author/editor: accurate claim-to-source matching.</x:v>
      </x:c>
    </x:row>
    <x:row r="21" ht="106.5" customHeight="1">
      <x:c r="A21" s="13" t="str">
        <x:v>E13</x:v>
      </x:c>
      <x:c r="B21" s="15" t="n">
        <x:v>1</x:v>
      </x:c>
      <x:c r="C21" s="13" t="str">
        <x:v>Separate useful human work from guaranteed income</x:v>
      </x:c>
      <x:c r="D21" s="13" t="str">
        <x:v>143, 222, 246</x:v>
      </x:c>
      <x:c r="E21" s="13" t="str">
        <x:v>Qualify model-collapse claims by training conditions. Keep firsthand reporting and creative work valuable without promising an audience or income. Show that documenting a useful food or labor trial can help others even when it does not monetize.</x:v>
      </x:c>
      <x:c r="F21" s="13" t="str">
        <x:v>No universal synthetic-data collapse claim supplies a false guarantee of human creator income.</x:v>
      </x:c>
      <x:c r="G21" s="14" t="str">
        <x:v>Unreviewed</x:v>
      </x:c>
      <x:c r="H21" s="14"/>
      <x:c r="I21" s="13" t="str">
        <x:v>The current prose combines inevitable improvement with inevitable model collapse, each broader than the cited experiments.</x:v>
      </x:c>
      <x:c r="J21" s="13" t="str">
        <x:v>chapter-10, chapter-16, chapter-18</x:v>
      </x:c>
      <x:c r="K21" s="13" t="str">
        <x:v>Evidence, Forecasts</x:v>
      </x:c>
      <x:c r="L21" s="13" t="str">
        <x:v>C09</x:v>
      </x:c>
      <x:c r="M21" s="13" t="str">
        <x:v>S06, S07</x:v>
      </x:c>
      <x:c r="N21" s="13" t="str"/>
      <x:c r="O21" s="52" t="str">
        <x:v>Retain correction</x:v>
      </x:c>
      <x:c r="P21" s="52" t="str">
        <x:v>Author/editor: scientific and economic scope.</x:v>
      </x:c>
    </x:row>
    <x:row r="22" ht="106.5" customHeight="1">
      <x:c r="A22" s="13" t="str">
        <x:v>E14</x:v>
      </x:c>
      <x:c r="B22" s="15" t="n">
        <x:v>1</x:v>
      </x:c>
      <x:c r="C22" s="13" t="str">
        <x:v>Keep attention advice compatible with useful work</x:v>
      </x:c>
      <x:c r="D22" s="13" t="str">
        <x:v>102, 106, 109, 229</x:v>
      </x:c>
      <x:c r="E22" s="13" t="str">
        <x:v>Retain flexible attention boundaries and honest sharing. Remove unsupported receptor-reset timing, rigid schedules and universal notification bans. Keep care and operational alerts relevant to the task.</x:v>
      </x:c>
      <x:c r="F22" s="13" t="str">
        <x:v>Wide lens, narrow focus remains possible without constant vigilance or disabling the alerts on which a project depends.</x:v>
      </x:c>
      <x:c r="G22" s="14" t="str">
        <x:v>Unreviewed</x:v>
      </x:c>
      <x:c r="H22" s="14"/>
      <x:c r="I22" s="13" t="str">
        <x:v>The biological timing claim and blanket notification rule exceed the evidence and conflict with practical monitoring.</x:v>
      </x:c>
      <x:c r="J22" s="13" t="str">
        <x:v>chapter-08, chapter-17</x:v>
      </x:c>
      <x:c r="K22" s="13" t="str">
        <x:v>People, Practice, Evidence</x:v>
      </x:c>
      <x:c r="L22" s="13" t="str">
        <x:v>C19</x:v>
      </x:c>
      <x:c r="M22" s="13"/>
      <x:c r="N22" s="13" t="str"/>
      <x:c r="O22" s="52" t="str">
        <x:v>Retain correction</x:v>
      </x:c>
      <x:c r="P22" s="52" t="str">
        <x:v>Author/editor: adaptable, appropriately sourced advice.</x:v>
      </x:c>
    </x:row>
    <x:row r="23" ht="106.5" customHeight="1">
      <x:c r="A23" s="13" t="str">
        <x:v>E15</x:v>
      </x:c>
      <x:c r="B23" s="15" t="n">
        <x:v>1</x:v>
      </x:c>
      <x:c r="C23" s="13" t="str">
        <x:v>Keep cooperation models explanatory</x:v>
      </x:c>
      <x:c r="D23" s="13" t="str">
        <x:v>112, 113, 114</x:v>
      </x:c>
      <x:c r="E23" s="13" t="str">
        <x:v>Correct reciprocal versus exponential reduction, game assumptions and group-size generalizations. Models may illustrate incentives; they cannot select a community’s rules or prove exclusion ethical. Move that design work to informed collective deliberation.</x:v>
      </x:c>
      <x:c r="F23" s="13" t="str">
        <x:v>Equations and their labels agree. The text distinguishes an illustrative model from evidence about a real community or authority to govern it.</x:v>
      </x:c>
      <x:c r="G23" s="14" t="str">
        <x:v>Unreviewed</x:v>
      </x:c>
      <x:c r="H23" s="14"/>
      <x:c r="I23" s="13" t="str">
        <x:v>Toy cost and game models are presented as stronger proofs than their assumptions support.</x:v>
      </x:c>
      <x:c r="J23" s="13" t="str">
        <x:v>chapter-08</x:v>
      </x:c>
      <x:c r="K23" s="13" t="str">
        <x:v>People, Evidence, Coherence</x:v>
      </x:c>
      <x:c r="L23" s="13" t="str">
        <x:v>C17 C18</x:v>
      </x:c>
      <x:c r="M23" s="13" t="str">
        <x:v>S20</x:v>
      </x:c>
      <x:c r="N23" s="13" t="str"/>
      <x:c r="O23" s="52" t="str">
        <x:v>Retain correction</x:v>
      </x:c>
      <x:c r="P23" s="52" t="str">
        <x:v>Author/editor: mathematics and inference; collective bodies: actual rules.</x:v>
      </x:c>
    </x:row>
    <x:row r="24" ht="106.5" customHeight="1">
      <x:c r="A24" s="13" t="str">
        <x:v>E16</x:v>
      </x:c>
      <x:c r="B24" s="15" t="n">
        <x:v>1</x:v>
      </x:c>
      <x:c r="C24" s="13" t="str">
        <x:v>Explain resilience as useful capacity with dependencies</x:v>
      </x:c>
      <x:c r="D24" s="13" t="str">
        <x:v>124, 134, 200</x:v>
      </x:c>
      <x:c r="E24" s="13" t="str">
        <x:v>Keep local and regional cooperation. Name relevant external parts, inputs and skills for the example, plus the disruption it could help with. A food project need not first become fully off-grid or independent of industry.</x:v>
      </x:c>
      <x:c r="F24" s="13" t="str">
        <x:v>No imported-input system is called completely independent. A modest increase in dependable food or labor capacity counts as progress.</x:v>
      </x:c>
      <x:c r="G24" s="14" t="str">
        <x:v>Unreviewed</x:v>
      </x:c>
      <x:c r="H24" s="14"/>
      <x:c r="I24" s="13" t="str">
        <x:v>The bounded regional strategy becomes a claim of complete independence later in the book.</x:v>
      </x:c>
      <x:c r="J24" s="13" t="str">
        <x:v>chapter-09, chapter-14</x:v>
      </x:c>
      <x:c r="K24" s="13" t="str">
        <x:v>Access, Forecasts, Evidence</x:v>
      </x:c>
      <x:c r="L24" s="13" t="str">
        <x:v>C14</x:v>
      </x:c>
      <x:c r="M24" s="13"/>
      <x:c r="N24" s="13" t="str"/>
      <x:c r="O24" s="52" t="str">
        <x:v>Refocus on mission</x:v>
      </x:c>
      <x:c r="P24" s="52" t="str">
        <x:v>Author/editor: bounded resilience claims; project partners: actual continuity planning.</x:v>
      </x:c>
    </x:row>
    <x:row r="25" ht="106.5" customHeight="1">
      <x:c r="A25" s="13" t="str">
        <x:v>E17</x:v>
      </x:c>
      <x:c r="B25" s="15" t="n">
        <x:v>1</x:v>
      </x:c>
      <x:c r="C25" s="13" t="str">
        <x:v>Finish the grandmother example already on the page</x:v>
      </x:c>
      <x:c r="D25" s="13" t="str">
        <x:v>166–171</x:v>
      </x:c>
      <x:c r="E25" s="13" t="str">
        <x:v>Preserve the existing fixed-income, arthritis, yard and code-enforcement setup on page 166 and the help sequence through 171. Clarify the request, human and machine roles, result and illustrative access assumptions. Keep future robotic execution as a forecast. Do not duplicate the setup.</x:v>
      </x:c>
      <x:c r="F25" s="13" t="str">
        <x:v>The scene distinguishes coordination, yard work, tending, harvesting and delivery. Any claimed machine task has an identified actor and evidence or a forecast label; free to grandma does not mean costless.</x:v>
      </x:c>
      <x:c r="G25" s="14" t="str">
        <x:v>Unreviewed</x:v>
      </x:c>
      <x:c r="H25" s="14"/>
      <x:c r="I25" s="13" t="str">
        <x:v>Correction to the earlier review: page 166 already gives the fixed-income problem and threatened fine. The remaining gap is followthrough, actor identity, availability and costs, not missing stakes.</x:v>
      </x:c>
      <x:c r="J25" s="13" t="str">
        <x:v>chapter-09, chapter-11, chapter-12, conclusion, introduction</x:v>
      </x:c>
      <x:c r="K25" s="13" t="str">
        <x:v>Access, Practice, Forecasts</x:v>
      </x:c>
      <x:c r="L25" s="13" t="str">
        <x:v>C23 C54</x:v>
      </x:c>
      <x:c r="M25" s="13" t="str">
        <x:v>S23</x:v>
      </x:c>
      <x:c r="N25" s="13" t="str"/>
      <x:c r="O25" s="52" t="str">
        <x:v>Refocus on mission</x:v>
      </x:c>
      <x:c r="P25" s="52" t="str">
        <x:v>Author/editor: coherent worked example. Community/service partners: actual delivery.</x:v>
      </x:c>
    </x:row>
    <x:row r="26" ht="106.5" customHeight="1">
      <x:c r="A26" s="13" t="str">
        <x:v>E18</x:v>
      </x:c>
      <x:c r="B26" s="15" t="n">
        <x:v>1</x:v>
      </x:c>
      <x:c r="C26" s="13" t="str">
        <x:v>Make land access an option, not a prerequisite</x:v>
      </x:c>
      <x:c r="D26" s="13" t="str">
        <x:v>166, 174, 211</x:v>
      </x:c>
      <x:c r="E26" s="13" t="str">
        <x:v>Keep the land-trust narrative and grandma’s yard. Offer existing gardens, shared sites and service access before purchase advice. Remove speculative buy-now urgency. Keep historical dispossession visible without requiring a new land-governance system.</x:v>
      </x:c>
      <x:c r="F26" s="13" t="str">
        <x:v>A reader without property has a plausible participation route. The history is not used as evidence for future investment returns.</x:v>
      </x:c>
      <x:c r="G26" s="14" t="str">
        <x:v>Unreviewed</x:v>
      </x:c>
      <x:c r="H26" s="14"/>
      <x:c r="I26" s="13" t="str">
        <x:v>The commons argument is weakened by advice to accumulate land and a selective account of historical access.</x:v>
      </x:c>
      <x:c r="J26" s="13" t="str">
        <x:v>chapter-12, chapter-15</x:v>
      </x:c>
      <x:c r="K26" s="13" t="str">
        <x:v>Access, History, Hope</x:v>
      </x:c>
      <x:c r="L26" s="13" t="str">
        <x:v>C16</x:v>
      </x:c>
      <x:c r="M26" s="13" t="str">
        <x:v>S18</x:v>
      </x:c>
      <x:c r="N26" s="13" t="str"/>
      <x:c r="O26" s="52" t="str">
        <x:v>Refocus on mission</x:v>
      </x:c>
      <x:c r="P26" s="52" t="str">
        <x:v>Author/editor: routes and historical accuracy; relevant partners: site access.</x:v>
      </x:c>
    </x:row>
    <x:row r="27" ht="106.5" customHeight="1">
      <x:c r="A27" s="13" t="str">
        <x:v>E19</x:v>
      </x:c>
      <x:c r="B27" s="15" t="n">
        <x:v>1</x:v>
      </x:c>
      <x:c r="C27" s="13" t="str">
        <x:v>Measure useful food and labor without mixing units</x:v>
      </x:c>
      <x:c r="D27" s="13" t="str">
        <x:v>169, 170, 171, 216</x:v>
      </x:c>
      <x:c r="E27" s="13" t="str">
        <x:v>Reconcile the 300% illustration, inventory and captions. Keep food mass, nutrition, electricity, time and money separate. Extend the task account through harvesting and distribution; do not let a tending diagram imply that every subsequent task is automated.</x:v>
      </x:c>
      <x:c r="F27" s="13" t="str">
        <x:v>Assumptions and units agree across scene, diagram and text. The claimed benefit is useful food or completed work reaching someone, not a machine activity count.</x:v>
      </x:c>
      <x:c r="G27" s="14" t="str">
        <x:v>Unreviewed</x:v>
      </x:c>
      <x:c r="H27" s="14"/>
      <x:c r="I27" s="13" t="str">
        <x:v>Page 169 visually promises about 300% yield while its caption and page 170 reject guaranteed multiples. Tool assignments also vary.</x:v>
      </x:c>
      <x:c r="J27" s="13" t="str">
        <x:v>chapter-12, chapter-15</x:v>
      </x:c>
      <x:c r="K27" s="13" t="str">
        <x:v>Evidence, Coherence, Access</x:v>
      </x:c>
      <x:c r="L27" s="13" t="str">
        <x:v>C15 C24</x:v>
      </x:c>
      <x:c r="M27" s="13"/>
      <x:c r="N27" s="13" t="str"/>
      <x:c r="O27" s="52" t="str">
        <x:v>Refocus on mission</x:v>
      </x:c>
      <x:c r="P27" s="52" t="str">
        <x:v>Author/editor: consistent example. Field partners: measurements for retained real-world claims.</x:v>
      </x:c>
    </x:row>
    <x:row r="28" ht="106.5" customHeight="1">
      <x:c r="A28" s="13" t="str">
        <x:v>E20</x:v>
      </x:c>
      <x:c r="B28" s="15" t="n">
        <x:v>0</x:v>
      </x:c>
      <x:c r="C28" s="13" t="str">
        <x:v>Replace the food recipe with a bounded capability account</x:v>
      </x:c>
      <x:c r="D28" s="13" t="str">
        <x:v>128, 132, 133, 134</x:v>
      </x:c>
      <x:c r="E28" s="13" t="str">
        <x:v>Remove the pathogen guarantee, universal water treatment and unsupported edible-crop foliar recipe. Default to explaining monitoring and cultivation roles, with food-safety protocols left to relevant institutions and specialists. A practical protocol can return only with directly applicable supporting work; the author need not invent it.</x:v>
      </x:c>
      <x:c r="F28" s="13" t="str">
        <x:v>Unsupported actionable instructions and guarantees are removed from prose and figures, or replaced with a properly supported applicable procedure. A disclaimer alone does not close the issue; author-led validation is not required to publish a narrower account.</x:v>
      </x:c>
      <x:c r="G28" s="14" t="str">
        <x:v>Unreviewed</x:v>
      </x:c>
      <x:c r="H28" s="14"/>
      <x:c r="I28" s="13" t="str">
        <x:v>USDA research contradicts the aeration guarantee. The manuscript also omits water-specific treatment and exported-nutrient accounting.</x:v>
      </x:c>
      <x:c r="J28" s="13" t="str">
        <x:v>chapter-09</x:v>
      </x:c>
      <x:c r="K28" s="13" t="str">
        <x:v>Evidence, Practice</x:v>
      </x:c>
      <x:c r="L28" s="13" t="str">
        <x:v>C20 C21 C22</x:v>
      </x:c>
      <x:c r="M28" s="13" t="str">
        <x:v>S13, S14, N05</x:v>
      </x:c>
      <x:c r="N28" s="13" t="str"/>
      <x:c r="O28" s="52" t="str">
        <x:v>Convert prescription to concept</x:v>
      </x:c>
      <x:c r="P28" s="52" t="str">
        <x:v>Author/editor: correct published claims. Food-safety organizations and qualified partners: protocol development and implementation.</x:v>
      </x:c>
    </x:row>
    <x:row r="29" ht="106.5" customHeight="1">
      <x:c r="A29" s="13" t="str">
        <x:v>E21</x:v>
      </x:c>
      <x:c r="B29" s="15" t="n">
        <x:v>1</x:v>
      </x:c>
      <x:c r="C29" s="13" t="str">
        <x:v>Keep soil learning grounded in evidence</x:v>
      </x:c>
      <x:c r="D29" s="13" t="str">
        <x:v>207, 208, 215</x:v>
      </x:c>
      <x:c r="E29" s="13" t="str">
        <x:v>Preserve Priya’s correction of misplaced sensors. Treat the tea results as fiction, not causal or contamination evidence. Review the hydraulic-fluid site detail on page 207, nutrient replacement, Rhizobium versus mycorrhizae and universal GMO-sterility language. Let agronomic evidence guide method choice.</x:v>
      </x:c>
      <x:c r="F29" s="13" t="str">
        <x:v>The story cannot be read as certifying food safety or remediation through growth. Biological claims have limited scope; the book does not require the author to design an agricultural safety program.</x:v>
      </x:c>
      <x:c r="G29" s="14" t="str">
        <x:v>Unreviewed</x:v>
      </x:c>
      <x:c r="H29" s="14"/>
      <x:c r="I29" s="13" t="str">
        <x:v>Unequal treatment conditions and contaminated ground prevent the scene from proving the wider technical claims.</x:v>
      </x:c>
      <x:c r="J29" s="13" t="str">
        <x:v>chapter-15</x:v>
      </x:c>
      <x:c r="K29" s="13" t="str">
        <x:v>Evidence, Practice, Coherence</x:v>
      </x:c>
      <x:c r="L29" s="13" t="str">
        <x:v>C33 C34</x:v>
      </x:c>
      <x:c r="M29" s="13" t="str">
        <x:v>S16, N05, N06</x:v>
      </x:c>
      <x:c r="N29" s="13" t="str"/>
      <x:c r="O29" s="52" t="str">
        <x:v>Retain correction</x:v>
      </x:c>
      <x:c r="P29" s="52" t="str">
        <x:v>Author/editor: story and scientific limits. Agricultural and environmental specialists: site and food-system work.</x:v>
      </x:c>
    </x:row>
    <x:row r="30" ht="106.5" customHeight="1">
      <x:c r="A30" s="13" t="str">
        <x:v>E22</x:v>
      </x:c>
      <x:c r="B30" s="15" t="n">
        <x:v>0</x:v>
      </x:c>
      <x:c r="C30" s="13" t="str">
        <x:v>Make computing serve the task without becoming a security manual</x:v>
      </x:c>
      <x:c r="D30" s="13" t="str">
        <x:v>105, 155, 158, 159, 161, 170</x:v>
      </x:c>
      <x:c r="E30" s="13" t="str">
        <x:v>Preserve the exposure incident and postmortem. Show how a model can help plan or coordinate a food task; label mock telemetry and advisory output. Define local, offline and air-gapped accurately. Remove incomplete deployment commands or keep only a maintained, appropriately reviewed example. Shared access and existing devices come first.</x:v>
      </x:c>
      <x:c r="F30" s="13" t="str">
        <x:v>No live-control, medical-fitness or security claim exceeds the example. Consequential runnable instructions are supported or removed; the author is not required to build an institutional cybersecurity program.</x:v>
      </x:c>
      <x:c r="G30" s="14" t="str">
        <x:v>Unreviewed</x:v>
      </x:c>
      <x:c r="H30" s="14"/>
      <x:c r="I30" s="13" t="str">
        <x:v>Local execution is conflated with an air gap. The advisory script does not establish autonomous control or network immunity.</x:v>
      </x:c>
      <x:c r="J30" s="13" t="str">
        <x:v>appendix-e, chapter-08, chapter-11, chapter-12</x:v>
      </x:c>
      <x:c r="K30" s="13" t="str">
        <x:v>Evidence, Practice, Access</x:v>
      </x:c>
      <x:c r="L30" s="13" t="str">
        <x:v>C25 C26 C27</x:v>
      </x:c>
      <x:c r="M30" s="13" t="str">
        <x:v>S08, S09</x:v>
      </x:c>
      <x:c r="N30" s="13" t="str"/>
      <x:c r="O30" s="52" t="str">
        <x:v>Convert prescription to concept</x:v>
      </x:c>
      <x:c r="P30" s="52" t="str">
        <x:v>Author/editor: truthful capability account. Operators and cybersecurity specialists: deployed systems and assurance.</x:v>
      </x:c>
    </x:row>
    <x:row r="31" ht="106.5" customHeight="1">
      <x:c r="A31" s="13" t="str">
        <x:v>E23</x:v>
      </x:c>
      <x:c r="B31" s="15" t="n">
        <x:v>1</x:v>
      </x:c>
      <x:c r="C31" s="13" t="str">
        <x:v>Retain energy principles; bound engineering claims</x:v>
      </x:c>
      <x:c r="D31" s="13" t="str">
        <x:v>134, 156, 161, 187, 188</x:v>
      </x:c>
      <x:c r="E31" s="13" t="str">
        <x:v>Keep useful energy accounting. Remove universal heating loads, radio containment and complete shielding guarantees. Prefer a clearly limited illustration over a full cooling or radio design unrelated to the immediate food task.</x:v>
      </x:c>
      <x:c r="F31" s="13" t="str">
        <x:v>Figures identify their boundary and assumptions or are removed. Publication of the concept does not require author-designed building services or security equipment.</x:v>
      </x:c>
      <x:c r="G31" s="14" t="str">
        <x:v>Unreviewed</x:v>
      </x:c>
      <x:c r="H31" s="14"/>
      <x:c r="I31" s="13" t="str">
        <x:v>Universal heat and containment assurances are not derived from a site model.</x:v>
      </x:c>
      <x:c r="J31" s="13" t="str">
        <x:v>chapter-09, chapter-11, chapter-13</x:v>
      </x:c>
      <x:c r="K31" s="13" t="str">
        <x:v>Evidence, Coherence</x:v>
      </x:c>
      <x:c r="L31" s="13" t="str">
        <x:v>C28 C30</x:v>
      </x:c>
      <x:c r="M31" s="13"/>
      <x:c r="N31" s="13" t="str"/>
      <x:c r="O31" s="52" t="str">
        <x:v>Convert prescription to concept</x:v>
      </x:c>
      <x:c r="P31" s="52" t="str">
        <x:v>Author/editor: bounded principles. Relevant engineers/operators: implementation.</x:v>
      </x:c>
    </x:row>
    <x:row r="32" ht="106.5" customHeight="1">
      <x:c r="A32" s="13" t="str">
        <x:v>E24</x:v>
      </x:c>
      <x:c r="B32" s="15" t="n">
        <x:v>0</x:v>
      </x:c>
      <x:c r="C32" s="13" t="str">
        <x:v>Make shelter a later application with a limited example</x:v>
      </x:c>
      <x:c r="D32" s="13" t="str">
        <x:v>182, 183, 185, 186, 188, 189</x:v>
      </x:c>
      <x:c r="E32" s="13" t="str">
        <x:v>Preserve the failed weld and respect for skill. Place shelter after food, land care and cleanup in the application roadmap, while retaining the chapter sequence for now. Convert partial structural, heating and water recipes into educational examples; remove prescriptive dimensions or systems lacking a complete applicable basis.</x:v>
      </x:c>
      <x:c r="F32" s="13" t="str">
        <x:v>No calculation or materials estimate is presented as proof of a habitable dwelling. A useful first food project does not require a shouse, land purchase or an author-designed housing system.</x:v>
      </x:c>
      <x:c r="G32" s="14" t="str">
        <x:v>Unreviewed</x:v>
      </x:c>
      <x:c r="H32" s="14"/>
      <x:c r="I32" s="13" t="str">
        <x:v>The scene respects skill and failure while the protocol overstates what its partial calculations establish.</x:v>
      </x:c>
      <x:c r="J32" s="13" t="str">
        <x:v>chapter-13</x:v>
      </x:c>
      <x:c r="K32" s="13" t="str">
        <x:v>Evidence, Practice, Access</x:v>
      </x:c>
      <x:c r="L32" s="13" t="str">
        <x:v>C29 C31</x:v>
      </x:c>
      <x:c r="M32" s="13"/>
      <x:c r="N32" s="13" t="str"/>
      <x:c r="O32" s="52" t="str">
        <x:v>Defer implementation; narrow claims</x:v>
      </x:c>
      <x:c r="P32" s="52" t="str">
        <x:v>Author/editor: scope and accurate illustration. Building professionals and institutions: actual design and approvals.</x:v>
      </x:c>
    </x:row>
    <x:row r="33" ht="106.5" customHeight="1">
      <x:c r="A33" s="13" t="str">
        <x:v>E25</x:v>
      </x:c>
      <x:c r="B33" s="15" t="n">
        <x:v>1</x:v>
      </x:c>
      <x:c r="C33" s="13" t="str">
        <x:v>Ground food resilience in the right measures</x:v>
      </x:c>
      <x:c r="D33" s="13" t="str">
        <x:v>198, 201, 258</x:v>
      </x:c>
      <x:c r="E33" s="13" t="str">
        <x:v>Separate retail shelf stock, household reserves and nutrition. Bound waste estimates by geography and method. Connect the discussion to actual growing, recovery and distribution tasks; do not infer instant starvation from a stock-turnover figure.</x:v>
      </x:c>
      <x:c r="F33" s="13" t="str">
        <x:v>The food argument uses consistent measures and motivates practical cooperation without unsupported collapse timing.</x:v>
      </x:c>
      <x:c r="G33" s="14" t="str">
        <x:v>Unreviewed</x:v>
      </x:c>
      <x:c r="H33" s="14"/>
      <x:c r="I33" s="13" t="str">
        <x:v>The chapter conflates distinct measures of food availability and generalizes a geographically bounded estimate.</x:v>
      </x:c>
      <x:c r="J33" s="13" t="str">
        <x:v>appendix-a, chapter-14</x:v>
      </x:c>
      <x:c r="K33" s="13" t="str">
        <x:v>Forecasts, Evidence, Hope</x:v>
      </x:c>
      <x:c r="L33" s="13" t="str">
        <x:v>C32</x:v>
      </x:c>
      <x:c r="M33" s="13" t="str">
        <x:v>S17</x:v>
      </x:c>
      <x:c r="N33" s="13" t="str"/>
      <x:c r="O33" s="52" t="str">
        <x:v>Retain correction</x:v>
      </x:c>
      <x:c r="P33" s="52" t="str">
        <x:v>Author/editor: evidence and definitions.</x:v>
      </x:c>
    </x:row>
    <x:row r="34" ht="106.5" customHeight="1">
      <x:c r="A34" s="13" t="str">
        <x:v>E26</x:v>
      </x:c>
      <x:c r="B34" s="15" t="n">
        <x:v>1</x:v>
      </x:c>
      <x:c r="C34" s="13" t="str">
        <x:v>Share what works without digital guarantees</x:v>
      </x:c>
      <x:c r="D34" s="13" t="str">
        <x:v>145, 220, 224, 225</x:v>
      </x:c>
      <x:c r="E34" s="13" t="str">
        <x:v>Keep documentation useful to other projects. Correct permanence, privacy, license and audience claims. Prefer a brief example of sharing a task result and its limits over a compulsory media business or permanent-storage architecture.</x:v>
      </x:c>
      <x:c r="F34" s="13" t="str">
        <x:v>Readers can share useful observations with appropriate consent and attribution without promised income, unhackability or perpetual hosting.</x:v>
      </x:c>
      <x:c r="G34" s="14" t="str">
        <x:v>Unreviewed</x:v>
      </x:c>
      <x:c r="H34" s="14"/>
      <x:c r="I34" s="13" t="str">
        <x:v>Content addressing, privacy steps and authenticity are asked to guarantee outcomes they do not establish.</x:v>
      </x:c>
      <x:c r="J34" s="13" t="str">
        <x:v>chapter-10, chapter-16</x:v>
      </x:c>
      <x:c r="K34" s="13" t="str">
        <x:v>Evidence, Practice, Coherence</x:v>
      </x:c>
      <x:c r="L34" s="13" t="str">
        <x:v>C35 C36 C37</x:v>
      </x:c>
      <x:c r="M34" s="13" t="str">
        <x:v>S12</x:v>
      </x:c>
      <x:c r="N34" s="13" t="str"/>
      <x:c r="O34" s="52" t="str">
        <x:v>Refocus on mission</x:v>
      </x:c>
      <x:c r="P34" s="52" t="str">
        <x:v>Author/editor: accurate sharing guidance; maintainers: actual hosting and access.</x:v>
      </x:c>
    </x:row>
    <x:row r="35" ht="106.5" customHeight="1">
      <x:c r="A35" s="13" t="str">
        <x:v>E27</x:v>
      </x:c>
      <x:c r="B35" s="15" t="n">
        <x:v>0</x:v>
      </x:c>
      <x:c r="C35" s="13" t="str">
        <x:v>Remove the incomplete battery assembly as a reader requirement</x:v>
      </x:c>
      <x:c r="D35" s="13" t="str">
        <x:v>233, 234, 235, 241</x:v>
      </x:c>
      <x:c r="E35" s="13" t="str">
        <x:v>Keep the energy-budget lesson and correct units and losses. Replace the salvaged-cell assembly with a conceptual illustration or a suitable documented commercial option. A custom power build belongs with qualified engineering work if pursued.</x:v>
      </x:c>
      <x:c r="F35" s="13" t="str">
        <x:v>The book no longer directs an undefined battery assembly. The practical mission can proceed without the author producing a certified custom power system.</x:v>
      </x:c>
      <x:c r="G35" s="14" t="str">
        <x:v>Unreviewed</x:v>
      </x:c>
      <x:c r="H35" s="14"/>
      <x:c r="I35" s="13" t="str">
        <x:v>The parts sketch omits charging and protection details; the accompanying power descriptions are inconsistent.</x:v>
      </x:c>
      <x:c r="J35" s="13" t="str">
        <x:v>chapter-17</x:v>
      </x:c>
      <x:c r="K35" s="13" t="str">
        <x:v>Evidence, Practice</x:v>
      </x:c>
      <x:c r="L35" s="13" t="str">
        <x:v>C38 C39</x:v>
      </x:c>
      <x:c r="M35" s="13"/>
      <x:c r="N35" s="13" t="str"/>
      <x:c r="O35" s="52" t="str">
        <x:v>Convert prescription to concept</x:v>
      </x:c>
      <x:c r="P35" s="52" t="str">
        <x:v>Author/editor: remove unsupported instructions. Qualified hardware specialists: custom designs.</x:v>
      </x:c>
    </x:row>
    <x:row r="36" ht="106.5" customHeight="1">
      <x:c r="A36" s="13" t="str">
        <x:v>E28</x:v>
      </x:c>
      <x:c r="B36" s="15" t="n">
        <x:v>1</x:v>
      </x:c>
      <x:c r="C36" s="13" t="str">
        <x:v>Match communication links to a useful task</x:v>
      </x:c>
      <x:c r="D36" s="13" t="str">
        <x:v>116, 203, 230</x:v>
      </x:c>
      <x:c r="E36" s="13" t="str">
        <x:v>Use a consistent account of small requests and telemetry, with separate links where bulk data or voice is needed. Check regional and hardware claims if retained. The task may also use a phone or existing service; mesh infrastructure is optional.</x:v>
      </x:c>
      <x:c r="F36" s="13" t="str">
        <x:v>Grandma’s request, local compute and Appendix E use compatible terms. No custom network is treated as a condition of joining a food or mutual-aid project.</x:v>
      </x:c>
      <x:c r="G36" s="14" t="str">
        <x:v>Unreviewed</x:v>
      </x:c>
      <x:c r="H36" s="14"/>
      <x:c r="I36" s="13" t="str">
        <x:v>Different chapters assign incompatible capabilities to the same mesh.</x:v>
      </x:c>
      <x:c r="J36" s="13" t="str">
        <x:v>appendix-e, chapter-08, chapter-12, chapter-14, chapter-17</x:v>
      </x:c>
      <x:c r="K36" s="13" t="str">
        <x:v>Evidence, Coherence</x:v>
      </x:c>
      <x:c r="L36" s="13" t="str">
        <x:v>C40</x:v>
      </x:c>
      <x:c r="M36" s="13" t="str">
        <x:v>S10, S11</x:v>
      </x:c>
      <x:c r="N36" s="13" t="str"/>
      <x:c r="O36" s="52" t="str">
        <x:v>Refocus on mission</x:v>
      </x:c>
      <x:c r="P36" s="52" t="str">
        <x:v>Author/editor: compatible task assumptions. Operators: actual network configuration.</x:v>
      </x:c>
    </x:row>
    <x:row r="37" ht="114" customHeight="1">
      <x:c r="A37" s="13" t="str">
        <x:v>E29</x:v>
      </x:c>
      <x:c r="B37" s="15" t="n">
        <x:v>1</x:v>
      </x:c>
      <x:c r="C37" s="13" t="str">
        <x:v>Separate cleanup, recovery and closed-loop claims</x:v>
      </x:c>
      <x:c r="D37" s="13" t="str">
        <x:v>237, 238, 240</x:v>
      </x:c>
      <x:c r="E37" s="13" t="str">
        <x:v>Correct polymer names and unclosed material balances. Add a short ordinary-litter example: identify, collect, move to an appropriate existing disposal stream and check completion. Keep recycling and waste-to-resource experiments separate from the simpler goal of a clean place; specialist wastes belong with relevant services. Add one short response to the nanny-robot objection: prevention, accessible disposal and cleanup can work together. Waste can reach rivers unintentionally. Hazardous environments are a separate specialist deployment question, not a reader exercise.</x:v>
      </x:c>
      <x:c r="F37" s="13" t="str">
        <x:v>The third mission priority has a concrete task example. The text neither promises total loop closure nor makes an industrial recycling plant a prerequisite to cleanup. Neither automatic punishment nor robots everywhere is treated as the universal answer.</x:v>
      </x:c>
      <x:c r="G37" s="14" t="str">
        <x:v>Unreviewed</x:v>
      </x:c>
      <x:c r="H37" s="14"/>
      <x:c r="I37" s="13" t="str">
        <x:v>Material conversion and unfinished feed capacity do not support the claimed closure.</x:v>
      </x:c>
      <x:c r="J37" s="13" t="str">
        <x:v>chapter-17</x:v>
      </x:c>
      <x:c r="K37" s="13" t="str">
        <x:v>Evidence, Forecasts</x:v>
      </x:c>
      <x:c r="L37" s="13" t="str">
        <x:v>C41</x:v>
      </x:c>
      <x:c r="M37" s="13" t="str">
        <x:v>N08, N09, N10</x:v>
      </x:c>
      <x:c r="N37" s="13" t="str"/>
      <x:c r="O37" s="52" t="str">
        <x:v>Refocus on mission</x:v>
      </x:c>
      <x:c r="P37" s="52" t="str">
        <x:v>Author/editor: bounded task chain. Waste services and specialists: handling standards and facilities.</x:v>
      </x:c>
    </x:row>
    <x:row r="38" ht="106.5" customHeight="1">
      <x:c r="A38" s="13" t="str">
        <x:v>E30</x:v>
      </x:c>
      <x:c r="B38" s="15" t="n">
        <x:v>1</x:v>
      </x:c>
      <x:c r="C38" s="13" t="str">
        <x:v>Choose computing by task, including devices already owned</x:v>
      </x:c>
      <x:c r="D38" s="13" t="str">
        <x:v>286, 287, 288</x:v>
      </x:c>
      <x:c r="E38" s="13" t="str">
        <x:v>Keep cyberdeck repairability and interfaces as optional advantages. Correct claims that phones have no offline utility. Use an existing-device route for conversations, task logs or coordination when sufficient; the custom build is a later choice.</x:v>
      </x:c>
      <x:c r="F38" s="13" t="str">
        <x:v>Readers can choose a suitable tool without building a cyberdeck, buying a rack or relying on false phone limitations.</x:v>
      </x:c>
      <x:c r="G38" s="14" t="str">
        <x:v>Unreviewed</x:v>
      </x:c>
      <x:c r="H38" s="14"/>
      <x:c r="I38" s="13" t="str">
        <x:v>The appendix denies offline phone utility and then relies on it.</x:v>
      </x:c>
      <x:c r="J38" s="13" t="str">
        <x:v>appendix-e</x:v>
      </x:c>
      <x:c r="K38" s="13" t="str">
        <x:v>Access, Evidence, Coherence</x:v>
      </x:c>
      <x:c r="L38" s="13" t="str">
        <x:v>C42</x:v>
      </x:c>
      <x:c r="M38" s="13" t="str">
        <x:v>S19</x:v>
      </x:c>
      <x:c r="N38" s="13" t="str"/>
      <x:c r="O38" s="52" t="str">
        <x:v>Refocus on mission</x:v>
      </x:c>
      <x:c r="P38" s="52" t="str">
        <x:v>Author/editor: fair capability comparison.</x:v>
      </x:c>
    </x:row>
    <x:row r="39" ht="106.5" customHeight="1">
      <x:c r="A39" s="13" t="str">
        <x:v>E31</x:v>
      </x:c>
      <x:c r="B39" s="15" t="n">
        <x:v>1</x:v>
      </x:c>
      <x:c r="C39" s="13" t="str">
        <x:v>Turn the municipal code into a discussion brief</x:v>
      </x:c>
      <x:c r="D39" s="13" t="str">
        <x:v>165, 213, 244, 257</x:v>
      </x:c>
      <x:c r="E39" s="13" t="str">
        <x:v>Recommend converting Appendix A from a deployable ordinance into issues for informed specialists and public deliberation. Remove automatic overrides, fixed incentives without a basis, tax immunity and consequence-free contract termination. Retain the food-surplus purpose and questions people can bring to leaders.</x:v>
      </x:c>
      <x:c r="F39" s="13" t="str">
        <x:v>The appendix claims no portable legal authority and gives no impression of enacted law. It invites researched collective work; publication does not wait for the author to draft a jurisdiction-ready ordinance.</x:v>
      </x:c>
      <x:c r="G39" s="14" t="str">
        <x:v>Unreviewed</x:v>
      </x:c>
      <x:c r="H39" s="14"/>
      <x:c r="I39" s="13" t="str">
        <x:v>The charter and trust are described as establishing legal outcomes that require additional jurisdiction-specific conditions.</x:v>
      </x:c>
      <x:c r="J39" s="13" t="str">
        <x:v>appendix-a, chapter-12, chapter-15, chapter-18</x:v>
      </x:c>
      <x:c r="K39" s="13" t="str">
        <x:v>Evidence, Access, Forecasts</x:v>
      </x:c>
      <x:c r="L39" s="13" t="str">
        <x:v>C43</x:v>
      </x:c>
      <x:c r="M39" s="13" t="str">
        <x:v>S15</x:v>
      </x:c>
      <x:c r="N39" s="13" t="str">
        <x:v>These are questions for a community discussion about food access and useful labor. Any policy needs evidence, relevant expertise and the participation of the people it affects.</x:v>
      </x:c>
      <x:c r="O39" s="52" t="str">
        <x:v>Redirect collective design</x:v>
      </x:c>
      <x:c r="P39" s="52" t="str">
        <x:v>Author/editor: form and claims. Relevant legal, food-system and public institutions with affected people: policy design.</x:v>
      </x:c>
    </x:row>
    <x:row r="40" ht="106.5" customHeight="1">
      <x:c r="A40" s="13" t="str">
        <x:v>E32</x:v>
      </x:c>
      <x:c r="B40" s="15" t="n">
        <x:v>2</x:v>
      </x:c>
      <x:c r="C40" s="13" t="str">
        <x:v>Reconcile the story calendar and acknowledge skill gaps</x:v>
      </x:c>
      <x:c r="D40" s="13" t="str">
        <x:v>15, 17, 76, 83, 140, 179, 219, 245, 252</x:v>
      </x:c>
      <x:c r="E40" s="13" t="str">
        <x:v>Retain the timeline repair. Give the succession problem a believable fictional interim arrangement or make the unresolved gap explicit. Do not turn the scene into a requirement that the author supply a workforce or governance system.</x:v>
      </x:c>
      <x:c r="F40" s="13" t="str">
        <x:v>Dates, intervals and weekdays agree. A two-year need is not silently solved by a four-year apprenticeship.</x:v>
      </x:c>
      <x:c r="G40" s="14" t="str">
        <x:v>Unreviewed</x:v>
      </x:c>
      <x:c r="H40" s="14"/>
      <x:c r="I40" s="13" t="str">
        <x:v>Monthly dinner counts and elapsed years conflict; the two-year capacity/four-year apprenticeship gap needs a plan.</x:v>
      </x:c>
      <x:c r="J40" s="13" t="str">
        <x:v>chapter-00, chapter-06, chapter-07, chapter-10, chapter-13, chapter-16, chapter-18, conclusion</x:v>
      </x:c>
      <x:c r="K40" s="13" t="str">
        <x:v>Coherence</x:v>
      </x:c>
      <x:c r="L40" s="13" t="str">
        <x:v>C46 C47 C48</x:v>
      </x:c>
      <x:c r="M40" s="13"/>
      <x:c r="N40" s="13" t="str"/>
      <x:c r="O40" s="52" t="str">
        <x:v>Retain correction</x:v>
      </x:c>
      <x:c r="P40" s="52" t="str">
        <x:v>Author/editor: narrative consistency and honest unresolved constraints.</x:v>
      </x:c>
    </x:row>
    <x:row r="41" ht="106.5" customHeight="1">
      <x:c r="A41" s="13" t="str">
        <x:v>E33</x:v>
      </x:c>
      <x:c r="B41" s="15" t="n">
        <x:v>2</x:v>
      </x:c>
      <x:c r="C41" s="13" t="str">
        <x:v>Carry the approved title into production</x:v>
      </x:c>
      <x:c r="D41" s="13" t="str">
        <x:v>2, 147, 149</x:v>
      </x:c>
      <x:c r="E41" s="13" t="str">
        <x:v>Use King and Queen of Your Own Robotic Court in all three text occurrences and rebuilt navigation. Explain its promise through useful assistance with food and mutual aid. r002 already changes the recovered text; the original PDF is unchanged.</x:v>
      </x:c>
      <x:c r="F41" s="13" t="str">
        <x:v>Title, contents, transition and eventual navigation agree. A title edit is not mistaken for a completed chapter rewrite.</x:v>
      </x:c>
      <x:c r="G41" s="14" t="str">
        <x:v>Unreviewed</x:v>
      </x:c>
      <x:c r="H41" s="14"/>
      <x:c r="I41" s="13" t="str">
        <x:v>The original attachment still contains the old title. This was fixed only in working revision r002.</x:v>
      </x:c>
      <x:c r="J41" s="13" t="str">
        <x:v>chapter-10, chapter-11, frontmatter</x:v>
      </x:c>
      <x:c r="K41" s="13" t="str">
        <x:v>Coherence</x:v>
      </x:c>
      <x:c r="L41" s="13" t="str">
        <x:v>C49</x:v>
      </x:c>
      <x:c r="M41" s="13"/>
      <x:c r="N41" s="13" t="str"/>
      <x:c r="O41" s="52" t="str">
        <x:v>Retain correction</x:v>
      </x:c>
      <x:c r="P41" s="52" t="str">
        <x:v>Author/editor and production: title propagation.</x:v>
      </x:c>
    </x:row>
    <x:row r="42" ht="106.5" customHeight="1">
      <x:c r="A42" s="13" t="str">
        <x:v>E34</x:v>
      </x:c>
      <x:c r="B42" s="15" t="n">
        <x:v>2</x:v>
      </x:c>
      <x:c r="C42" s="13" t="str">
        <x:v>Repair pointers after the bounded revisions</x:v>
      </x:c>
      <x:c r="D42" s="13" t="str">
        <x:v>161, 168, 171, 172, 215, 232</x:v>
      </x:c>
      <x:c r="E42" s="13" t="str">
        <x:v>Resolve chapter references by topic, including renamed and narrowed practical material. Keep stable section IDs. Refer readers to the capability actually described instead of implying that a removed recipe still exists elsewhere.</x:v>
      </x:c>
      <x:c r="F42" s="13" t="str">
        <x:v>Each pointer reaches the promised material in the final edition.</x:v>
      </x:c>
      <x:c r="G42" s="14" t="str">
        <x:v>Unreviewed</x:v>
      </x:c>
      <x:c r="H42" s="14"/>
      <x:c r="I42" s="13" t="str">
        <x:v>Several numbered pointers survived earlier structural changes and now send readers to unrelated material.</x:v>
      </x:c>
      <x:c r="J42" s="13" t="str">
        <x:v>chapter-11, chapter-12, chapter-15, chapter-17</x:v>
      </x:c>
      <x:c r="K42" s="13" t="str">
        <x:v>Coherence</x:v>
      </x:c>
      <x:c r="L42" s="13" t="str">
        <x:v>C50</x:v>
      </x:c>
      <x:c r="M42" s="13"/>
      <x:c r="N42" s="13" t="str"/>
      <x:c r="O42" s="52" t="str">
        <x:v>Retain correction</x:v>
      </x:c>
      <x:c r="P42" s="52" t="str">
        <x:v>Editor/production: cross-references.</x:v>
      </x:c>
    </x:row>
    <x:row r="43" ht="114" customHeight="1">
      <x:c r="A43" s="13" t="str">
        <x:v>E35</x:v>
      </x:c>
      <x:c r="B43" s="15" t="n">
        <x:v>1</x:v>
      </x:c>
      <x:c r="C43" s="13" t="str">
        <x:v>Use history to normalize uncertainty and improve choices</x:v>
      </x:c>
      <x:c r="D43" s="13" t="str">
        <x:v>13, 81, 89, 256, 281</x:v>
      </x:c>
      <x:c r="E43" s="13" t="str">
        <x:v>Keep all 23 precedent reviews, their factual corrections and their limits. Use recognizable motives and changed conditions to invite curiosity. History may explain resistance, institutional adaptation and shared benefits; it cannot prove critics wrong or remove the need for evidence. Use dishwashers and laundry machines as limited everyday analogies for accepting labor-saving tools, not proof that technological displacement causes no harm or has never met resistance.</x:v>
      </x:c>
      <x:c r="F43" s="13" t="str">
        <x:v>Each retained analogy distinguishes the historical mechanism from the present claim and does not establish a precise AI date or universal beneficial outcome.</x:v>
      </x:c>
      <x:c r="G43" s="14" t="str">
        <x:v>Unreviewed</x:v>
      </x:c>
      <x:c r="H43" s="14"/>
      <x:c r="I43" s="13" t="str">
        <x:v>Selected technological winners and failed forecasts are treated as universal laws about opposition and progress.</x:v>
      </x:c>
      <x:c r="J43" s="13" t="str">
        <x:v>appendix-d, chapter-00, chapter-01, chapter-02, chapter-03, chapter-04, chapter-05, chapter-06, chapter-07, chapter-08, chapter-09, chapter-10, chapter-11, chapter-12, chapter-13, chapter-14, chapter-15, chapter-16, chapter-17, chapter-18, conclusion, preface</x:v>
      </x:c>
      <x:c r="K43" s="13" t="str">
        <x:v>History, People, Forecasts</x:v>
      </x:c>
      <x:c r="L43" s="13" t="str">
        <x:v>C13</x:v>
      </x:c>
      <x:c r="M43" s="13" t="str">
        <x:v>H05</x:v>
      </x:c>
      <x:c r="N43" s="13" t="str"/>
      <x:c r="O43" s="52" t="str">
        <x:v>Retain correction</x:v>
      </x:c>
      <x:c r="P43" s="52" t="str">
        <x:v>Author/editor: sourced, limited historical analogies.</x:v>
      </x:c>
    </x:row>
    <x:row r="44" ht="106.5" customHeight="1">
      <x:c r="A44" s="13" t="str">
        <x:v>E36</x:v>
      </x:c>
      <x:c r="B44" s="15" t="n">
        <x:v>1</x:v>
      </x:c>
      <x:c r="C44" s="13" t="str">
        <x:v>Repair the most consequential historical shortcuts</x:v>
      </x:c>
      <x:c r="D44" s="13" t="str">
        <x:v>95, 174, 190, 204</x:v>
      </x:c>
      <x:c r="E44" s="13" t="str">
        <x:v>Keep the musicians’ benefit-sharing question, Kodak correction, Sears chronology and Homestead dispossession context. These support mutual aid and realistic access when accurately told. Collective bargaining and institutional change can appear as historical examples without becoming the author’s policy blueprint.</x:v>
      </x:c>
      <x:c r="F44" s="13" t="str">
        <x:v>Retained facts and quotations are traceable; the moral lesson does not rest on a simplified victory story.</x:v>
      </x:c>
      <x:c r="G44" s="14" t="str">
        <x:v>Unreviewed</x:v>
      </x:c>
      <x:c r="H44" s="14"/>
      <x:c r="I44" s="13" t="str">
        <x:v>These cases directly support the revised thesis but their current causal shortcuts weaken it.</x:v>
      </x:c>
      <x:c r="J44" s="13" t="str">
        <x:v>appendix-d, chapter-07, chapter-12, chapter-13, chapter-14</x:v>
      </x:c>
      <x:c r="K44" s="13" t="str">
        <x:v>History, Evidence, Access</x:v>
      </x:c>
      <x:c r="L44" s="13"/>
      <x:c r="M44" s="13" t="str">
        <x:v>H01, H02, H03, S18</x:v>
      </x:c>
      <x:c r="N44" s="13" t="str"/>
      <x:c r="O44" s="52" t="str">
        <x:v>Retain correction</x:v>
      </x:c>
      <x:c r="P44" s="52" t="str">
        <x:v>Author/editor: case accuracy and scope.</x:v>
      </x:c>
    </x:row>
    <x:row r="45" ht="106.5" customHeight="1">
      <x:c r="A45" s="13" t="str">
        <x:v>E37</x:v>
      </x:c>
      <x:c r="B45" s="15" t="n">
        <x:v>2</x:v>
      </x:c>
      <x:c r="C45" s="13" t="str">
        <x:v>Keep precedent counts and callbacks consistent</x:v>
      </x:c>
      <x:c r="D45" s="13" t="str">
        <x:v>8, 256, 283</x:v>
      </x:c>
      <x:c r="E45" s="13" t="str">
        <x:v>Use the P-01 through P-23 inventory and explicit case names. Update counts after any actual change to the inventory, not because the mission has narrowed.</x:v>
      </x:c>
      <x:c r="F45" s="13" t="str">
        <x:v>All counts and callbacks match the final case inventory.</x:v>
      </x:c>
      <x:c r="G45" s="14" t="str">
        <x:v>Unreviewed</x:v>
      </x:c>
      <x:c r="H45" s="14"/>
      <x:c r="I45" s="13" t="str">
        <x:v>The original repeatedly promises twenty-two entries although it contains twenty-three.</x:v>
      </x:c>
      <x:c r="J45" s="13" t="str">
        <x:v>appendix-d, conclusion, introduction</x:v>
      </x:c>
      <x:c r="K45" s="13" t="str">
        <x:v>Coherence</x:v>
      </x:c>
      <x:c r="L45" s="13" t="str">
        <x:v>C51</x:v>
      </x:c>
      <x:c r="M45" s="13"/>
      <x:c r="N45" s="13" t="str"/>
      <x:c r="O45" s="52" t="str">
        <x:v>Retain correction</x:v>
      </x:c>
      <x:c r="P45" s="52" t="str">
        <x:v>Editor/production: counts and navigation.</x:v>
      </x:c>
    </x:row>
    <x:row r="46" ht="106.5" customHeight="1">
      <x:c r="A46" s="13" t="str">
        <x:v>E38</x:v>
      </x:c>
      <x:c r="B46" s="15" t="n">
        <x:v>2</x:v>
      </x:c>
      <x:c r="C46" s="13" t="str">
        <x:v>Make retained claims and rights traceable</x:v>
      </x:c>
      <x:c r="D46" s="13" t="str">
        <x:v>262, 283</x:v>
      </x:c>
      <x:c r="E46" s="13" t="str">
        <x:v>Prioritize claims that carry the forecast and food/labor argument, then check retained peripheral material. Keep source scope, product dates and quotation rights distinct. Removing an unsupported claim is a valid resolution; the author need not undertake a new research program to preserve it.</x:v>
      </x:c>
      <x:c r="F46" s="13" t="str">
        <x:v>Consequential retained claims have matching sources or clear forecast/scenario labels. References and rights are usable in the final edition.</x:v>
      </x:c>
      <x:c r="G46" s="14" t="str">
        <x:v>Unreviewed</x:v>
      </x:c>
      <x:c r="H46" s="14"/>
      <x:c r="I46" s="13" t="str">
        <x:v>The bibliography is a running list rather than a usable claim-to-source system. Appendix D points to a separate casebook not retrieved in this review.</x:v>
      </x:c>
      <x:c r="J46" s="13" t="str">
        <x:v>appendix-b, appendix-d, frontmatter</x:v>
      </x:c>
      <x:c r="K46" s="13" t="str">
        <x:v>Evidence, Coherence</x:v>
      </x:c>
      <x:c r="L46" s="13"/>
      <x:c r="M46" s="13"/>
      <x:c r="N46" s="13" t="str"/>
      <x:c r="O46" s="52" t="str">
        <x:v>Retain correction</x:v>
      </x:c>
      <x:c r="P46" s="52" t="str">
        <x:v>Author/editor and production: evidence, citations and rights.</x:v>
      </x:c>
    </x:row>
    <x:row r="47" ht="106.5" customHeight="1">
      <x:c r="A47" s="13" t="str">
        <x:v>E39</x:v>
      </x:c>
      <x:c r="B47" s="15" t="n">
        <x:v>1</x:v>
      </x:c>
      <x:c r="C47" s="13" t="str">
        <x:v>Acknowledge threats without assigning one person the cure</x:v>
      </x:c>
      <x:c r="D47" s="13" t="str">
        <x:v>38, 243</x:v>
      </x:c>
      <x:c r="E47" s="13" t="str">
        <x:v>Keep the optional bounded threat chapter or consolidate within existing Part I. Give each concern a mechanism, evidence status and relevant level of response. Food safety and cybersecurity need organized specialist work and public accountability. End with the food-first contribution this book can make. Keep the new laziness, WALL-E, existing-method and jobs objections to one compact passage, then return to useful outcomes.</x:v>
      </x:c>
      <x:c r="F47" s="13" t="str">
        <x:v>Concern and fatalism are distinct. No token personal action purports to solve a systemic risk, and no new chapter is inserted without a movement map.</x:v>
      </x:c>
      <x:c r="G47" s="14" t="str">
        <x:v>Unreviewed</x:v>
      </x:c>
      <x:c r="H47" s="14"/>
      <x:c r="I47" s="13" t="str">
        <x:v>A dedicated threat chapter is an author-supported option, not an approved structural change. Repetition and tone need resolving before insertion.</x:v>
      </x:c>
      <x:c r="J47" s="13" t="str">
        <x:v>chapter-02, chapter-03, chapter-05, chapter-18, part-i, part-ii</x:v>
      </x:c>
      <x:c r="K47" s="13" t="str">
        <x:v>Hope, Practice</x:v>
      </x:c>
      <x:c r="L47" s="13"/>
      <x:c r="M47" s="13" t="str">
        <x:v>N08, N09, N10</x:v>
      </x:c>
      <x:c r="N47" s="13" t="str"/>
      <x:c r="O47" s="52" t="str">
        <x:v>Redirect collective design</x:v>
      </x:c>
      <x:c r="P47" s="52" t="str">
        <x:v>Author/editor: fair scope. Relevant institutions and affected public: systemic responses.</x:v>
      </x:c>
    </x:row>
    <x:row r="48" ht="106.5" customHeight="1">
      <x:c r="A48" s="13" t="str">
        <x:v>E40</x:v>
      </x:c>
      <x:c r="B48" s="15" t="n">
        <x:v>1</x:v>
      </x:c>
      <x:c r="C48" s="13" t="str">
        <x:v>Use the premortem to find the next useful gap</x:v>
      </x:c>
      <x:c r="D48" s="13" t="str">
        <x:v>245, 248</x:v>
      </x:c>
      <x:c r="E48" s="13" t="str">
        <x:v>Preserve the annual meeting, burnout and succession discussion. Replace the failing-community verdict and exhaustive risk count. Separate a project’s next task from institutional issues requiring partners; do not grade a reader against a fully self-sufficient settlement.</x:v>
      </x:c>
      <x:c r="F48" s="13" t="str">
        <x:v>The premortem helps revise a food or mutual-aid effort and seek appropriate partners. Limited capacity does not become personal failure.</x:v>
      </x:c>
      <x:c r="G48" s="14" t="str">
        <x:v>Unreviewed</x:v>
      </x:c>
      <x:c r="H48" s="14"/>
      <x:c r="I48" s="13" t="str">
        <x:v>The meeting models listening and revision, but page 248 turns incomplete infrastructure into personal failure.</x:v>
      </x:c>
      <x:c r="J48" s="13" t="str">
        <x:v>chapter-18</x:v>
      </x:c>
      <x:c r="K48" s="13" t="str">
        <x:v>Practice, Hope, People</x:v>
      </x:c>
      <x:c r="L48" s="13"/>
      <x:c r="M48" s="13" t="str">
        <x:v>H05</x:v>
      </x:c>
      <x:c r="N48" s="13" t="str"/>
      <x:c r="O48" s="52" t="str">
        <x:v>Refocus on mission</x:v>
      </x:c>
      <x:c r="P48" s="52" t="str">
        <x:v>Author/editor: constructive example. Project groups and institutions: their respective followthrough.</x:v>
      </x:c>
    </x:row>
    <x:row r="49" ht="106.5" customHeight="1">
      <x:c r="A49" s="13" t="str">
        <x:v>E41</x:v>
      </x:c>
      <x:c r="B49" s="15" t="n">
        <x:v>1</x:v>
      </x:c>
      <x:c r="C49" s="13" t="str">
        <x:v>Verify named examples without making them prerequisites</x:v>
      </x:c>
      <x:c r="D49" s="13" t="str">
        <x:v>6, 34; 271</x:v>
      </x:c>
      <x:c r="E49" s="13" t="str">
        <x:v>Keep exact developer, product, task, date and availability records for retained demonstrations. Appendix B already names Z.ai GLM-5.2; its official card verifies identity and MIT licensing, while domestic-chip and cybersecurity-equivalence claims need separate evidence. Resolve Gen1.5 and Robot OS 2 before adding them. Distinguish factory construction, assembly and self-replication.</x:v>
      </x:c>
      <x:c r="F49" s="13" t="str">
        <x:v>Each example has an appropriate evidence boundary. No product identity is guessed, company benchmarks are attributed and the practical program works without relying on one announcement.</x:v>
      </x:c>
      <x:c r="G49" s="14" t="str">
        <x:v>Unreviewed</x:v>
      </x:c>
      <x:c r="H49" s="14"/>
      <x:c r="I49" s="13" t="str">
        <x:v>Correction to the earlier review: GLM-5.2 is named on page 271. Identity is not missing. The remaining claims about chronology, hardware and equivalent capability require separate verification.</x:v>
      </x:c>
      <x:c r="J49" s="13" t="str">
        <x:v>chapter-01, chapter-02, chapter-09, introduction</x:v>
      </x:c>
      <x:c r="K49" s="13" t="str">
        <x:v>Forecasts, Evidence</x:v>
      </x:c>
      <x:c r="L49" s="13"/>
      <x:c r="M49" s="13" t="str">
        <x:v>N07</x:v>
      </x:c>
      <x:c r="N49" s="13" t="str"/>
      <x:c r="O49" s="52" t="str">
        <x:v>Retain correction</x:v>
      </x:c>
      <x:c r="P49" s="52" t="str">
        <x:v>Author/editor: dated source matching; no requirement to reproduce every frontier system.</x:v>
      </x:c>
    </x:row>
    <x:row r="50" ht="106.5" customHeight="1">
      <x:c r="A50" s="13" t="str">
        <x:v>E42</x:v>
      </x:c>
      <x:c r="B50" s="15" t="n">
        <x:v>2</x:v>
      </x:c>
      <x:c r="C50" s="13" t="str">
        <x:v>Proof the final book after substantive work</x:v>
      </x:c>
      <x:c r="D50" s="13" t="str">
        <x:v>169, 262</x:v>
      </x:c>
      <x:c r="E50" s="13" t="str">
        <x:v>Retain source recovery, figure and bibliography repair, rights, navigation and final export inspection. The narrowed mission does not resolve existing clipping, glyph or source problems. Keep review completion distinct from publication readiness.</x:v>
      </x:c>
      <x:c r="F50" s="13" t="str">
        <x:v>The final digital and print outputs, once built, are actually inspected. r002 and this review are not described as publication proofs.</x:v>
      </x:c>
      <x:c r="G50" s="14" t="str">
        <x:v>Unreviewed</x:v>
      </x:c>
      <x:c r="H50" s="14"/>
      <x:c r="I50" s="13" t="str">
        <x:v>Visual checks confirm clipped bibliography text on page 262 and cropped diagram text on page 169. Earlier production checks identify additional pages for reinspection.</x:v>
      </x:c>
      <x:c r="J50" s="13" t="str">
        <x:v>appendix-b, chapter-11, chapter-12, frontmatter</x:v>
      </x:c>
      <x:c r="K50" s="13" t="str">
        <x:v>Evidence, Coherence</x:v>
      </x:c>
      <x:c r="L50" s="13"/>
      <x:c r="M50" s="13"/>
      <x:c r="N50" s="13" t="str"/>
      <x:c r="O50" s="52" t="str">
        <x:v>Retain correction</x:v>
      </x:c>
      <x:c r="P50" s="52" t="str">
        <x:v>Editor/production: source and final output quality.</x:v>
      </x:c>
    </x:row>
    <x:row r="51" ht="106.5" customHeight="1">
      <x:c r="A51" s="13" t="str">
        <x:v>E43</x:v>
      </x:c>
      <x:c r="B51" s="15" t="n">
        <x:v>1</x:v>
      </x:c>
      <x:c r="C51" s="13" t="str">
        <x:v>Show the steps from a need to delivered help</x:v>
      </x:c>
      <x:c r="D51" s="13" t="str">
        <x:v>149, 159</x:v>
      </x:c>
      <x:c r="E51" s="13" t="str">
        <x:v>Use Chapter 11 to introduce need, task, tool, human-machine roles, execution and checked result. Develop food first in Chapters 9, 12 and 15, then land care, ordinary trash cleanup and shelter. The loop is an explanatory structure, not a complete robotics stack or governance model.</x:v>
      </x:c>
      <x:c r="F51" s="13" t="str">
        <x:v>A reader can tell what work becomes easier, what still needs people or other organizations, and how anyone knows useful help occurred.</x:v>
      </x:c>
      <x:c r="G51" s="14" t="str">
        <x:v>Unreviewed</x:v>
      </x:c>
      <x:c r="H51" s="14"/>
      <x:c r="I51" s="13" t="str">
        <x:v>The author's idea-to-reality thesis is stronger when it names the work between requesting help and receiving a dependable result.</x:v>
      </x:c>
      <x:c r="J51" s="13" t="str">
        <x:v>chapter-11, chapter-12, chapter-17, conclusion</x:v>
      </x:c>
      <x:c r="K51" s="13" t="str">
        <x:v>Practice, Access, Forecasts</x:v>
      </x:c>
      <x:c r="L51" s="13"/>
      <x:c r="M51" s="13" t="str">
        <x:v>H04</x:v>
      </x:c>
      <x:c r="N51" s="13" t="str"/>
      <x:c r="O51" s="52" t="str">
        <x:v>Refocus on mission</x:v>
      </x:c>
      <x:c r="P51" s="52" t="str">
        <x:v>Author/editor: recurring example; project and specialist partners: operational work.</x:v>
      </x:c>
    </x:row>
    <x:row r="52" ht="106.5" customHeight="1">
      <x:c r="A52" s="13" t="str">
        <x:v>E44</x:v>
      </x:c>
      <x:c r="B52" s="15" t="n">
        <x:v>1</x:v>
      </x:c>
      <x:c r="C52" s="13" t="str">
        <x:v>Keep publication time, fiction and forecast distinct</x:v>
      </x:c>
      <x:c r="D52" s="13" t="str">
        <x:v>198, 231, 246</x:v>
      </x:c>
      <x:c r="E52" s="13" t="str">
        <x:v>Retain narrator and timeline corrections. Replace floating next-year claims with dated forecasts where appropriate. The future service queue and larger horizons must not read as services already available to readers.</x:v>
      </x:c>
      <x:c r="F52" s="13" t="str">
        <x:v>Present evidence, fictional events, personal predictions and later scenarios remain distinguishable throughout prose and figures.</x:v>
      </x:c>
      <x:c r="G52" s="14" t="str">
        <x:v>Unreviewed</x:v>
      </x:c>
      <x:c r="H52" s="14"/>
      <x:c r="I52" s="13" t="str">
        <x:v>The guidance shifts among 2026, already-completed collapse and a later-century narrator without consistent signals.</x:v>
      </x:c>
      <x:c r="J52" s="13" t="str">
        <x:v>chapter-14, chapter-17, chapter-18</x:v>
      </x:c>
      <x:c r="K52" s="13" t="str">
        <x:v>Forecasts, Coherence</x:v>
      </x:c>
      <x:c r="L52" s="13" t="str">
        <x:v>C52</x:v>
      </x:c>
      <x:c r="M52" s="13"/>
      <x:c r="N52" s="13" t="str"/>
      <x:c r="O52" s="52" t="str">
        <x:v>Retain correction</x:v>
      </x:c>
      <x:c r="P52" s="52" t="str">
        <x:v>Author/editor: tense and claim classification.</x:v>
      </x:c>
    </x:row>
    <x:row r="53" ht="106.5" customHeight="1">
      <x:c r="A53" s="13" t="str">
        <x:v>E45</x:v>
      </x:c>
      <x:c r="B53" s="15" t="n">
        <x:v>1</x:v>
      </x:c>
      <x:c r="C53" s="13" t="str">
        <x:v>Make the first useful step smaller than the whole system</x:v>
      </x:c>
      <x:c r="D53" s="13" t="str">
        <x:v>7, 137</x:v>
      </x:c>
      <x:c r="E53" s="13" t="str">
        <x:v>Add a short food-first reading route near the opening and update all three part introductions. A conversation with a grower, a bounded planning task or participation in existing mutual aid can begin the inquiry. No need to buy land, install a rack or agree on a new municipal code first.</x:v>
      </x:c>
      <x:c r="F53" s="13" t="str">
        <x:v>The opening identifies an attainable start and preserves the broader horizon. Part openers no longer promise a fixed sequence, psychology-only solution or total control.</x:v>
      </x:c>
      <x:c r="G53" s="14" t="str">
        <x:v>Unreviewed</x:v>
      </x:c>
      <x:c r="H53" s="14"/>
      <x:c r="I53" s="13" t="str">
        <x:v>The early roadmap describes predicted stages; the author's new proposal supplies a reader action structure that should appear earlier than the ending.</x:v>
      </x:c>
      <x:c r="J53" s="13" t="str">
        <x:v>introduction, part-i, part-ii, part-iii, preface</x:v>
      </x:c>
      <x:c r="K53" s="13" t="str">
        <x:v>Practice, Access, Hope</x:v>
      </x:c>
      <x:c r="L53" s="13"/>
      <x:c r="M53" s="13"/>
      <x:c r="N53" s="13" t="str"/>
      <x:c r="O53" s="52" t="str">
        <x:v>Refocus on mission</x:v>
      </x:c>
      <x:c r="P53" s="52" t="str">
        <x:v>Author/editor: entry points and consistent framing.</x:v>
      </x:c>
    </x:row>
  </x:sheetData>
  <x:conditionalFormatting sqref="G9:G53">
    <x:cfRule type="expression" dxfId="0" priority="1">
      <x:formula>G9="Accept"</x:formula>
    </x:cfRule>
  </x:conditionalFormatting>
  <x:conditionalFormatting sqref="B9:B53">
    <x:cfRule type="expression" dxfId="1" priority="2">
      <x:formula>B9=0</x:formula>
    </x:cfRule>
    <x:cfRule type="expression" dxfId="2" priority="3">
      <x:formula>B9=1</x:formula>
    </x:cfRule>
  </x:conditionalFormatting>
  <x:dataValidations count="1">
    <x:dataValidation type="list" sqref="G9:G53">
      <x:formula1>"Unreviewed,Accept,Revise,Decline"</x:formula1>
    </x:dataValidation>
  </x:dataValidations>
  <x:pageMargins left="0.7" right="0.7" top="0.75" bottom="0.75" header="0.3" footer="0.3"/>
  <x:tableParts count="1">
    <x:tablePart xmlns:r="http://schemas.openxmlformats.org/officeDocument/2006/relationships" r:id="R91fbb1f6cc664b78"/>
  </x:tableParts>
</x:worksheet>
</file>

<file path=xl/worksheets/sheet3.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0" hidden="0" customWidth="1"/>
    <x:col min="2" max="2" width="11.670000076293945" hidden="0" customWidth="1"/>
    <x:col min="3" max="3" width="65.55999755859375" hidden="0" customWidth="1"/>
    <x:col min="4" max="4" width="49.439998626708984" hidden="0" customWidth="1"/>
  </x:cols>
  <x:sheetData>
    <x:row r="1" ht="18" customHeight="1">
      <x:c r="A1" s="2"/>
      <x:c r="B1" s="2"/>
      <x:c r="C1" s="2"/>
      <x:c r="D1" s="2"/>
    </x:row>
    <x:row r="2" ht="27" customHeight="1">
      <x:c r="A2" s="3" t="str">
        <x:v>Source anchors and research</x:v>
      </x:c>
      <x:c r="B2" s="2"/>
      <x:c r="C2" s="2"/>
      <x:c r="D2" s="2"/>
    </x:row>
    <x:row r="3" ht="18" customHeight="1">
      <x:c r="A3" s="2" t="str">
        <x:v>Source: Surviving-the-Singularity-v0.7.4 (2)(3).pdf. Physical PDF pages, one-based.</x:v>
      </x:c>
      <x:c r="B3" s="2"/>
      <x:c r="C3" s="2"/>
      <x:c r="D3" s="2"/>
    </x:row>
    <x:row r="4" ht="18" customHeight="1">
      <x:c r="A4" s="2" t="str">
        <x:v>The 191 source anchors below were checked against the original text. Research source IDs are listed below the anchors.</x:v>
      </x:c>
      <x:c r="B4" s="2"/>
      <x:c r="C4" s="2"/>
      <x:c r="D4" s="2"/>
    </x:row>
    <x:row r="5" ht="18" customHeight="1">
      <x:c r="A5" s="2"/>
      <x:c r="B5" s="2"/>
      <x:c r="C5" s="2"/>
      <x:c r="D5" s="2"/>
    </x:row>
    <x:row r="6" ht="18" customHeight="1">
      <x:c r="A6" s="2" t="str">
        <x:v>An anchor locates the passage. It does not itself establish that the passage is true.</x:v>
      </x:c>
      <x:c r="B6" s="2"/>
      <x:c r="C6" s="2"/>
      <x:c r="D6" s="2"/>
    </x:row>
    <x:row r="7" ht="18" customHeight="1">
      <x:c r="A7" s="2"/>
      <x:c r="B7" s="2"/>
      <x:c r="C7" s="2"/>
      <x:c r="D7" s="2"/>
    </x:row>
    <x:row r="8" ht="31.5" customHeight="1">
      <x:c r="A8" s="9" t="str">
        <x:v>Edit ID</x:v>
      </x:c>
      <x:c r="B8" s="10" t="str">
        <x:v>PDF page</x:v>
      </x:c>
      <x:c r="C8" s="10" t="str">
        <x:v>Exact search anchor in the original</x:v>
      </x:c>
      <x:c r="D8" s="11" t="str">
        <x:v>Earlier audit reference</x:v>
      </x:c>
    </x:row>
    <x:row r="9" ht="37.5" customHeight="1">
      <x:c r="A9" s="12" t="str">
        <x:v>E01</x:v>
      </x:c>
      <x:c r="B9" s="18" t="n">
        <x:v>31</x:v>
      </x:c>
      <x:c r="C9" s="12" t="str">
        <x:v>ty is the point where intelligence stops being scarce, and every
     institution quietly built on its scarcity starts</x:v>
      </x:c>
      <x:c r="D9" s="12" t="str">
        <x:v>C01</x:v>
      </x:c>
    </x:row>
    <x:row r="10" ht="37.5" customHeight="1">
      <x:c r="A10" s="12" t="str">
        <x:v>E01</x:v>
      </x:c>
      <x:c r="B10" s="18" t="n">
        <x:v>254</x:v>
      </x:c>
      <x:c r="C10" s="12" t="str">
        <x:v>is poured.
 The engine is built.
 2027 is the year. That is the tipping point. That is the moment the AI models we</x:v>
      </x:c>
      <x:c r="D10" s="12" t="str">
        <x:v>C01</x:v>
      </x:c>
    </x:row>
    <x:row r="11" ht="37.5" customHeight="1">
      <x:c r="A11" s="12" t="str">
        <x:v>E01</x:v>
      </x:c>
      <x:c r="B11" s="18" t="n">
        <x:v>277</x:v>
      </x:c>
      <x:c r="C11" s="12" t="str">
        <x:v>ord Means
 Before the stages, the definition. Nobody agrees on one, so most arguments about the singularity</x:v>
      </x:c>
      <x:c r="D11" s="12" t="str">
        <x:v>C01</x:v>
      </x:c>
    </x:row>
    <x:row r="12" ht="37.5" customHeight="1">
      <x:c r="A12" s="12" t="str">
        <x:v>E01</x:v>
      </x:c>
      <x:c r="B12" s="18" t="n">
        <x:v>278</x:v>
      </x:c>
      <x:c r="C12" s="12" t="str">
        <x:v>• The Reality Check. 2027 is the ignition point for unassisted recursive self-improvement.
           The machin</x:v>
      </x:c>
      <x:c r="D12" s="12" t="str">
        <x:v>C01</x:v>
      </x:c>
    </x:row>
    <x:row r="13" ht="37.5" customHeight="1">
      <x:c r="A13" s="12" t="str">
        <x:v>E01</x:v>
      </x:c>
      <x:c r="B13" s="18" t="n">
        <x:v>7</x:v>
      </x:c>
      <x:c r="C13" s="12" t="str">
        <x:v>2027: recursive self-improvement ignites</x:v>
      </x:c>
      <x:c r="D13" s="12" t="str">
        <x:v>C01</x:v>
      </x:c>
    </x:row>
    <x:row r="14" ht="37.5" customHeight="1">
      <x:c r="A14" s="12" t="str">
        <x:v>E02</x:v>
      </x:c>
      <x:c r="B14" s="18" t="n">
        <x:v>31</x:v>
      </x:c>
      <x:c r="C14" s="12" t="str">
        <x:v>Explosion for the engine, and it
 declines Accelerating Change as a planning tool on purpose.
 Not because</x:v>
      </x:c>
      <x:c r="D14" s="12" t="str">
        <x:v>C02 C11 C45</x:v>
      </x:c>
    </x:row>
    <x:row r="15" ht="37.5" customHeight="1">
      <x:c r="A15" s="12" t="str">
        <x:v>E02</x:v>
      </x:c>
      <x:c r="B15" s="18" t="n">
        <x:v>56</x:v>
      </x:c>
      <x:c r="C15" s="12" t="str">
        <x:v>ring:
 Fixing it wouldn’t make it true.
 The error wasn’t the units. The error was the ladder. Every c</x:v>
      </x:c>
      <x:c r="D15" s="12" t="str">
        <x:v>C02 C11 C45</x:v>
      </x:c>
    </x:row>
    <x:row r="16" ht="37.5" customHeight="1">
      <x:c r="A16" s="12" t="str">
        <x:v>E02</x:v>
      </x:c>
      <x:c r="B16" s="18" t="n">
        <x:v>278</x:v>
      </x:c>
      <x:c r="C16" s="12" t="str">
        <x:v>s for infinite compute.
         • Stage 9: The Apex Intelligence. The USI hits the physical hard limit of</x:v>
      </x:c>
      <x:c r="D16" s="12" t="str">
        <x:v>C02 C11 C45</x:v>
      </x:c>
    </x:row>
    <x:row r="17" ht="37.5" customHeight="1">
      <x:c r="A17" s="12" t="str">
        <x:v>E02</x:v>
      </x:c>
      <x:c r="B17" s="18" t="n">
        <x:v>46</x:v>
      </x:c>
      <x:c r="C17" s="12" t="str">
        <x:v>the average primate does when the machine isn’t just delivering
 food, but effectively rendering their ent</x:v>
      </x:c>
      <x:c r="D17" s="12" t="str">
        <x:v>C02 C11 C45</x:v>
      </x:c>
    </x:row>
    <x:row r="18" ht="37.5" customHeight="1">
      <x:c r="A18" s="12" t="str">
        <x:v>E02</x:v>
      </x:c>
      <x:c r="B18" s="18" t="n">
        <x:v>51</x:v>
      </x:c>
      <x:c r="C18" s="12" t="str">
        <x:v>g about the end of the
 world, the machine is busy running the math. And it comes to a very simple, undenia</x:v>
      </x:c>
      <x:c r="D18" s="12" t="str">
        <x:v>C02 C11 C45</x:v>
      </x:c>
    </x:row>
    <x:row r="19" ht="37.5" customHeight="1">
      <x:c r="A19" s="12" t="str">
        <x:v>E02</x:v>
      </x:c>
      <x:c r="B19" s="18" t="n">
        <x:v>65</x:v>
      </x:c>
      <x:c r="C19" s="12" t="str">
        <x:v>ent). If a drone burns more energy hunting you than it saves by eliminating you, you
 survive. Your goal is</x:v>
      </x:c>
      <x:c r="D19" s="12" t="str">
        <x:v>C02 C11 C45</x:v>
      </x:c>
    </x:row>
    <x:row r="20" ht="37.5" customHeight="1">
      <x:c r="A20" s="12" t="str">
        <x:v>E02</x:v>
      </x:c>
      <x:c r="B20" s="18" t="n">
        <x:v>278</x:v>
      </x:c>
      <x:c r="C20" s="12" t="str">
        <x:v>worth the resources required for a war; we are simply
           outgrown.
         • Stage 7: Simulati</x:v>
      </x:c>
      <x:c r="D20" s="12" t="str">
        <x:v>C02 C11 C45</x:v>
      </x:c>
    </x:row>
    <x:row r="21" ht="37.5" customHeight="1">
      <x:c r="A21" s="12" t="str">
        <x:v>E02</x:v>
      </x:c>
      <x:c r="B21" s="18" t="n">
        <x:v>58</x:v>
      </x:c>
      <x:c r="C21" s="12" t="str">
        <x:v>self.
 The Cosmic Apex and the Simulation Trilemma
 The sheer computational scale of a USI running flawle</x:v>
      </x:c>
      <x:c r="D21" s="12" t="str">
        <x:v>C02 C11 C45</x:v>
      </x:c>
    </x:row>
    <x:row r="22" ht="37.5" customHeight="1">
      <x:c r="A22" s="12" t="str">
        <x:v>E02</x:v>
      </x:c>
      <x:c r="B22" s="18" t="n">
        <x:v>58</x:v>
      </x:c>
      <x:c r="C22" s="12" t="str">
        <x:v>n.
 In 2020, the astronomer David Kipping ran the odds properly, and his result cuts through the
 vertigo.</x:v>
      </x:c>
      <x:c r="D22" s="12" t="str">
        <x:v>C02 C11 C45</x:v>
      </x:c>
    </x:row>
    <x:row r="23" ht="37.5" customHeight="1">
      <x:c r="A23" s="12" t="str">
        <x:v>E03</x:v>
      </x:c>
      <x:c r="B23" s="18" t="n">
        <x:v>6</x:v>
      </x:c>
      <x:c r="C23" s="12" t="str">
        <x:v>If a robot can grow my food and build my house</x:v>
      </x:c>
      <x:c r="D23" s="12" t="str">
        <x:v>Latest author direction / direct review</x:v>
      </x:c>
    </x:row>
    <x:row r="24" ht="37.5" customHeight="1">
      <x:c r="A24" s="12" t="str">
        <x:v>E03</x:v>
      </x:c>
      <x:c r="B24" s="18" t="n">
        <x:v>11</x:v>
      </x:c>
      <x:c r="C24" s="12" t="str">
        <x:v>nothing can own your mind unless you allow it</x:v>
      </x:c>
      <x:c r="D24" s="12" t="str">
        <x:v>Latest author direction / direct review</x:v>
      </x:c>
    </x:row>
    <x:row r="25" ht="37.5" customHeight="1">
      <x:c r="A25" s="12" t="str">
        <x:v>E03</x:v>
      </x:c>
      <x:c r="B25" s="18" t="n">
        <x:v>254</x:v>
      </x:c>
      <x:c r="C25" s="12" t="str">
        <x:v>ge and scrolling through Reddit.
 Wake the fuck up.
 This isn’t ten years away. This isn’t fifty years away. The ti</x:v>
      </x:c>
      <x:c r="D25" s="12" t="str">
        <x:v>Latest author direction / direct review</x:v>
      </x:c>
    </x:row>
    <x:row r="26" ht="37.5" customHeight="1">
      <x:c r="A26" s="12" t="str">
        <x:v>E04</x:v>
      </x:c>
      <x:c r="B26" s="18" t="n">
        <x:v>52</x:v>
      </x:c>
      <x:c r="C26" s="12" t="str">
        <x:v>On the other side, you have the Naturalists. The “stay human” movement. They view the merge as
 suicide. The</x:v>
      </x:c>
      <x:c r="D26" s="12" t="str">
        <x:v>C12</x:v>
      </x:c>
    </x:row>
    <x:row r="27" ht="37.5" customHeight="1">
      <x:c r="A27" s="12" t="str">
        <x:v>E04</x:v>
      </x:c>
      <x:c r="B27" s="18" t="n">
        <x:v>69</x:v>
      </x:c>
      <x:c r="C27" s="12" t="str">
        <x:v>single one of
 them protected the panicker, from the discomfort of watching a world stop needing what they</x:v>
      </x:c>
      <x:c r="D27" s="12" t="str">
        <x:v>C12</x:v>
      </x:c>
    </x:row>
    <x:row r="28" ht="37.5" customHeight="1">
      <x:c r="A28" s="12" t="str">
        <x:v>E04</x:v>
      </x:c>
      <x:c r="B28" s="18" t="n">
        <x:v>83</x:v>
      </x:c>
      <x:c r="C28" s="12" t="str">
        <x:v>ing: a couple of forks paused, and Denny Osei, sitting across and
 one down, wiped his mouth and folded h</x:v>
      </x:c>
      <x:c r="D28" s="12" t="str">
        <x:v>C12</x:v>
      </x:c>
    </x:row>
    <x:row r="29" ht="37.5" customHeight="1">
      <x:c r="A29" s="12" t="str">
        <x:v>E04</x:v>
      </x:c>
      <x:c r="B29" s="18" t="n">
        <x:v>85</x:v>
      </x:c>
      <x:c r="C29" s="12" t="str">
        <x:v>and marginalized communities
    Demographics                         fighting for status in the old world,</x:v>
      </x:c>
      <x:c r="D29" s="12" t="str">
        <x:v>C12</x:v>
      </x:c>
    </x:row>
    <x:row r="30" ht="37.5" customHeight="1">
      <x:c r="A30" s="12" t="str">
        <x:v>E04</x:v>
      </x:c>
      <x:c r="B30" s="18" t="n">
        <x:v>90</x:v>
      </x:c>
      <x:c r="C30" s="12" t="str">
        <x:v>The Egalitarian Pivot
 Here is the move the battle-line framing hides, and it is the</x:v>
      </x:c>
      <x:c r="D30" s="12" t="str">
        <x:v>C12</x:v>
      </x:c>
    </x:row>
    <x:row r="31" ht="37.5" customHeight="1">
      <x:c r="A31" s="12" t="str">
        <x:v>E05</x:v>
      </x:c>
      <x:c r="B31" s="18" t="n">
        <x:v>113</x:v>
      </x:c>
      <x:c r="C31" s="12" t="str">
        <x:v>n in a small, localized network is social death, complete
 disconnection from the physical resources, caloric en</x:v>
      </x:c>
      <x:c r="D31" s="12" t="str">
        <x:v>C03</x:v>
      </x:c>
    </x:row>
    <x:row r="32" ht="37.5" customHeight="1">
      <x:c r="A32" s="12" t="str">
        <x:v>E05</x:v>
      </x:c>
      <x:c r="B32" s="18" t="n">
        <x:v>122</x:v>
      </x:c>
      <x:c r="C32" s="12" t="str">
        <x:v>absolute, automated human right</x:v>
      </x:c>
      <x:c r="D32" s="12" t="str">
        <x:v>C03</x:v>
      </x:c>
    </x:row>
    <x:row r="33" ht="37.5" customHeight="1">
      <x:c r="A33" s="12" t="str">
        <x:v>E05</x:v>
      </x:c>
      <x:c r="B33" s="18" t="n">
        <x:v>170</x:v>
      </x:c>
      <x:c r="C33" s="12" t="str">
        <x:v>etwork can carry
 the neighbor who produces nothing, not because any single node is a miracle, but because the
 bott</x:v>
      </x:c>
      <x:c r="D33" s="12" t="str">
        <x:v>C03</x:v>
      </x:c>
    </x:row>
    <x:row r="34" ht="37.5" customHeight="1">
      <x:c r="A34" s="12" t="str">
        <x:v>E05</x:v>
      </x:c>
      <x:c r="B34" s="18" t="n">
        <x:v>247</x:v>
      </x:c>
      <x:c r="C34" s="12" t="str">
        <x:v>to month                          survival is the floor, not the prize
                  Miss a payment and you are</x:v>
      </x:c>
      <x:c r="D34" s="12" t="str">
        <x:v>C03</x:v>
      </x:c>
    </x:row>
    <x:row r="35" ht="37.5" customHeight="1">
      <x:c r="A35" s="12" t="str">
        <x:v>E06</x:v>
      </x:c>
      <x:c r="B35" s="18" t="n">
        <x:v>90</x:v>
      </x:c>
      <x:c r="C35" s="12" t="str">
        <x:v>yone’s kid is recognized, because
 accountability at that scale needs no enforcement apparatus. Distribute the dec</x:v>
      </x:c>
      <x:c r="D35" s="12" t="str">
        <x:v>C04 C05</x:v>
      </x:c>
    </x:row>
    <x:row r="36" ht="37.5" customHeight="1">
      <x:c r="A36" s="12" t="str">
        <x:v>E06</x:v>
      </x:c>
      <x:c r="B36" s="18" t="n">
        <x:v>122</x:v>
      </x:c>
      <x:c r="C36" s="12" t="str">
        <x:v>gerous word. We
           require centralized control for quality, safety, and establishing critical stopgaps against</x:v>
      </x:c>
      <x:c r="D36" s="12" t="str">
        <x:v>C04 C05</x:v>
      </x:c>
    </x:row>
    <x:row r="37" ht="37.5" customHeight="1">
      <x:c r="A37" s="12" t="str">
        <x:v>E06</x:v>
      </x:c>
      <x:c r="B37" s="18" t="n">
        <x:v>257</x:v>
      </x:c>
      <x:c r="C37" s="12" t="str">
        <x:v>APPENDIX A: THE MUNICIPAL AUTONOMY
 CODE
 If you want to understand the limits of corpora</x:v>
      </x:c>
      <x:c r="D37" s="12" t="str">
        <x:v>C04 C05</x:v>
      </x:c>
    </x:row>
    <x:row r="38" ht="37.5" customHeight="1">
      <x:c r="A38" s="12" t="str">
        <x:v>E06</x:v>
      </x:c>
      <x:c r="B38" s="18" t="n">
        <x:v>116</x:v>
      </x:c>
      <x:c r="C38" s="12" t="str">
        <x:v>3. Draft the Protocol, Not the Contract: Do not write a rigid, legalistic contract. Write a
           s</x:v>
      </x:c>
      <x:c r="D38" s="12" t="str">
        <x:v>C04 C05</x:v>
      </x:c>
    </x:row>
    <x:row r="39" ht="37.5" customHeight="1">
      <x:c r="A39" s="12" t="str">
        <x:v>E06</x:v>
      </x:c>
      <x:c r="B39" s="18" t="n">
        <x:v>121</x:v>
      </x:c>
      <x:c r="C39" s="12" t="str">
        <x:v>ed with himself for a Saturday.
 “Reuben Vance,” Marta said, not looking up from the crimper. “Elijah. El</x:v>
      </x:c>
      <x:c r="D39" s="12" t="str">
        <x:v>C04 C05</x:v>
      </x:c>
    </x:row>
    <x:row r="40" ht="37.5" customHeight="1">
      <x:c r="A40" s="12" t="str">
        <x:v>E06</x:v>
      </x:c>
      <x:c r="B40" s="18" t="n">
        <x:v>164</x:v>
      </x:c>
      <x:c r="C40" s="12" t="str">
        <x:v>he dealt out was a community land trust: a legal person that cannot die, cannot divorce,
 cannot have a</x:v>
      </x:c>
      <x:c r="D40" s="12" t="str">
        <x:v>C04 C05</x:v>
      </x:c>
    </x:row>
    <x:row r="41" ht="37.5" customHeight="1">
      <x:c r="A41" s="12" t="str">
        <x:v>E06</x:v>
      </x:c>
      <x:c r="B41" s="18" t="n">
        <x:v>244</x:v>
      </x:c>
      <x:c r="C41" s="12" t="str">
        <x:v>numbers, the trust’s first ground-lease payment made in full to Irene Calder, the library’s
 download co</x:v>
      </x:c>
      <x:c r="D41" s="12" t="str">
        <x:v>C04 C05</x:v>
      </x:c>
    </x:row>
    <x:row r="42" ht="37.5" customHeight="1">
      <x:c r="A42" s="12" t="str">
        <x:v>E07</x:v>
      </x:c>
      <x:c r="B42" s="18" t="n">
        <x:v>45</x:v>
      </x:c>
      <x:c r="C42" s="12" t="str">
        <x:v>l, you have to pay the people that own the robots”, you aren’t getting it.
 The robots will just do stuff.
 This</x:v>
      </x:c>
      <x:c r="D42" s="12" t="str">
        <x:v>C06 C07</x:v>
      </x:c>
    </x:row>
    <x:row r="43" ht="37.5" customHeight="1">
      <x:c r="A43" s="12" t="str">
        <x:v>E07</x:v>
      </x:c>
      <x:c r="B43" s="18" t="n">
        <x:v>149</x:v>
      </x:c>
      <x:c r="C43" s="12" t="str">
        <x:v>Chapter 11: Using the Tech to Your Advantage
                                         B</x:v>
      </x:c>
      <x:c r="D43" s="12" t="str">
        <x:v>C06 C07</x:v>
      </x:c>
    </x:row>
    <x:row r="44" ht="37.5" customHeight="1">
      <x:c r="A44" s="12" t="str">
        <x:v>E07</x:v>
      </x:c>
      <x:c r="B44" s="18" t="n">
        <x:v>165</x:v>
      </x:c>
      <x:c r="C44" s="12" t="str">
        <x:v>The trust buys the forty acres at honest appraisal. Irene keeps a life est</x:v>
      </x:c>
      <x:c r="D44" s="12" t="str">
        <x:v>C06 C07</x:v>
      </x:c>
    </x:row>
    <x:row r="45" ht="37.5" customHeight="1">
      <x:c r="A45" s="12" t="str">
        <x:v>E07</x:v>
      </x:c>
      <x:c r="B45" s="18" t="n">
        <x:v>32</x:v>
      </x:c>
      <x:c r="C45" s="12" t="str">
        <x:v>is rapidly approaching a marginal cost of zero.
 The friction currently observed across global markets</x:v>
      </x:c>
      <x:c r="D45" s="12" t="str">
        <x:v>C06 C07</x:v>
      </x:c>
    </x:row>
    <x:row r="46" ht="37.5" customHeight="1">
      <x:c r="A46" s="12" t="str">
        <x:v>E07</x:v>
      </x:c>
      <x:c r="B46" s="18" t="n">
        <x:v>79</x:v>
      </x:c>
      <x:c r="C46" s="12" t="str">
        <x:v>for a resource that has a marginal cost of zero, trapping us in an artificial system of debt,
 constant</x:v>
      </x:c>
      <x:c r="D46" s="12" t="str">
        <x:v>C06 C07</x:v>
      </x:c>
    </x:row>
    <x:row r="47" ht="37.5" customHeight="1">
      <x:c r="A47" s="12" t="str">
        <x:v>E07</x:v>
      </x:c>
      <x:c r="B47" s="18" t="n">
        <x:v>156</x:v>
      </x:c>
      <x:c r="C47" s="12" t="str">
        <x:v>(Q̇) of our liquid cooling loop in Watts is governed by the mass flow rate of
 our coolant (ṁ) and the te</x:v>
      </x:c>
      <x:c r="D47" s="12" t="str">
        <x:v>C06 C07</x:v>
      </x:c>
    </x:row>
    <x:row r="48" ht="37.5" customHeight="1">
      <x:c r="A48" s="12" t="str">
        <x:v>E07</x:v>
      </x:c>
      <x:c r="B48" s="18" t="n">
        <x:v>248</x:v>
      </x:c>
      <x:c r="C48" s="12" t="str">
        <x:v>eflationary force of zero-marginal-cost intelligence.
 To navigate the rapidly closing window of the 20</x:v>
      </x:c>
      <x:c r="D48" s="12" t="str">
        <x:v>C06 C07</x:v>
      </x:c>
    </x:row>
    <x:row r="49" ht="37.5" customHeight="1">
      <x:c r="A49" s="12" t="str">
        <x:v>E07</x:v>
      </x:c>
      <x:c r="B49" s="18" t="n">
        <x:v>149</x:v>
      </x:c>
      <x:c r="C49" s="12" t="str">
        <x:v>ted your career will work for you, for free, forever, on
           hardware the corporate upgrade cycle throws away.</x:v>
      </x:c>
      <x:c r="D49" s="12" t="str">
        <x:v>C06 C07</x:v>
      </x:c>
    </x:row>
    <x:row r="50" ht="37.5" customHeight="1">
      <x:c r="A50" s="12" t="str">
        <x:v>E08</x:v>
      </x:c>
      <x:c r="B50" s="18" t="n">
        <x:v>79</x:v>
      </x:c>
      <x:c r="C50" s="12" t="str">
        <x:v>rior ways of living, two distinct
 psychological barriers emerge:
        1. The Overwhelmed and Stressed: The v</x:v>
      </x:c>
      <x:c r="D50" s="12" t="str">
        <x:v>C08</x:v>
      </x:c>
    </x:row>
    <x:row r="51" ht="37.5" customHeight="1">
      <x:c r="A51" s="12" t="str">
        <x:v>E08</x:v>
      </x:c>
      <x:c r="B51" s="18" t="n">
        <x:v>65</x:v>
      </x:c>
      <x:c r="C51" s="12" t="str">
        <x:v>lly vibing with your aura” kind of energy. If you try to
 align your chakras to stay warm during a nuclear</x:v>
      </x:c>
      <x:c r="D51" s="12" t="str">
        <x:v>C08</x:v>
      </x:c>
    </x:row>
    <x:row r="52" ht="37.5" customHeight="1">
      <x:c r="A52" s="12" t="str">
        <x:v>E08</x:v>
      </x:c>
      <x:c r="B52" s="18" t="n">
        <x:v>245</x:v>
      </x:c>
      <x:c r="C52" s="12" t="str">
        <x:v>fee like it might be repossessed. “Apprenticeship’s four years
 if you’re serious. So we start Monday.”
 Elijah w</x:v>
      </x:c>
      <x:c r="D52" s="12" t="str">
        <x:v>C08</x:v>
      </x:c>
    </x:row>
    <x:row r="53" ht="37.5" customHeight="1">
      <x:c r="A53" s="12" t="str">
        <x:v>E09</x:v>
      </x:c>
      <x:c r="B53" s="18" t="n">
        <x:v>138</x:v>
      </x:c>
      <x:c r="C53" s="12" t="str">
        <x:v>ing and the drowning is one ratio: create more than you consume.
         • The algorithm can be ridden, but it cannot be impers</x:v>
      </x:c>
      <x:c r="D53" s="12" t="str">
        <x:v>Latest author direction / direct review</x:v>
      </x:c>
    </x:row>
    <x:row r="54" ht="37.5" customHeight="1">
      <x:c r="A54" s="12" t="str">
        <x:v>E09</x:v>
      </x:c>
      <x:c r="B54" s="18" t="n">
        <x:v>141</x:v>
      </x:c>
      <x:c r="C54" s="12" t="str">
        <x:v>• The Rule of Direct Exchange: Show up and work. When you put in physical labor, you
           move from the wo</x:v>
      </x:c>
      <x:c r="D54" s="12" t="str">
        <x:v>Latest author direction / direct review</x:v>
      </x:c>
    </x:row>
    <x:row r="55" ht="37.5" customHeight="1">
      <x:c r="A55" s="12" t="str">
        <x:v>E10</x:v>
      </x:c>
      <x:c r="B55" s="18" t="n">
        <x:v>255</x:v>
      </x:c>
      <x:c r="C55" s="12" t="str">
        <x:v>Stop arguing. Stop waiting. Start building.</x:v>
      </x:c>
      <x:c r="D55" s="12" t="str">
        <x:v>Latest author direction / direct review</x:v>
      </x:c>
    </x:row>
    <x:row r="56" ht="37.5" customHeight="1">
      <x:c r="A56" s="12" t="str">
        <x:v>E10</x:v>
      </x:c>
      <x:c r="B56" s="18" t="n">
        <x:v>251</x:v>
      </x:c>
      <x:c r="C56" s="12" t="str">
        <x:v>2027 is not a prediction to admire</x:v>
      </x:c>
      <x:c r="D56" s="12" t="str">
        <x:v>Latest author direction / direct review</x:v>
      </x:c>
    </x:row>
    <x:row r="57" ht="37.5" customHeight="1">
      <x:c r="A57" s="12" t="str">
        <x:v>E11</x:v>
      </x:c>
      <x:c r="B57" s="18" t="n">
        <x:v>256</x:v>
      </x:c>
      <x:c r="C57" s="12" t="str">
        <x:v>Only limits should change your plan</x:v>
      </x:c>
      <x:c r="D57" s="12" t="str">
        <x:v>Latest author direction / direct review</x:v>
      </x:c>
    </x:row>
    <x:row r="58" ht="37.5" customHeight="1">
      <x:c r="A58" s="12" t="str">
        <x:v>E11</x:v>
      </x:c>
      <x:c r="B58" s="18" t="n">
        <x:v>279</x:v>
      </x:c>
      <x:c r="C58" s="12" t="str">
        <x:v>slightly uncomfortable.
       2. Locate yourself. At any given moment you are living inside one or two precedents</x:v>
      </x:c>
      <x:c r="D58" s="12" t="str">
        <x:v>Latest author direction / direct review</x:v>
      </x:c>
    </x:row>
    <x:row r="59" ht="37.5" customHeight="1">
      <x:c r="A59" s="12" t="str">
        <x:v>E11</x:v>
      </x:c>
      <x:c r="B59" s="18" t="n">
        <x:v>281</x:v>
      </x:c>
      <x:c r="C59" s="12" t="str">
        <x:v>nd what you actually want to keep. It’s the only
           strategy with a win on record.
         • P-15. Trans</x:v>
      </x:c>
      <x:c r="D59" s="12" t="str">
        <x:v>Latest author direction / direct review</x:v>
      </x:c>
    </x:row>
    <x:row r="60" ht="37.5" customHeight="1">
      <x:c r="A60" s="12" t="str">
        <x:v>E12</x:v>
      </x:c>
      <x:c r="B60" s="18" t="n">
        <x:v>28</x:v>
      </x:c>
      <x:c r="C60" s="12" t="str">
        <x:v>about the small
 mechanics, it was autocomplete, it did make people faster. He was wrong about the only thing th</x:v>
      </x:c>
      <x:c r="D60" s="12" t="str">
        <x:v>C10 C44</x:v>
      </x:c>
    </x:row>
    <x:row r="61" ht="37.5" customHeight="1">
      <x:c r="A61" s="12" t="str">
        <x:v>E12</x:v>
      </x:c>
      <x:c r="B61" s="18" t="n">
        <x:v>142</x:v>
      </x:c>
      <x:c r="C61" s="12" t="str">
        <x:v>A Large Language Model (LLM) is not an intelligence. It is a highly sophisticated statistical mirror.
 It is trained</x:v>
      </x:c>
      <x:c r="D61" s="12" t="str">
        <x:v>C10 C44</x:v>
      </x:c>
    </x:row>
    <x:row r="62" ht="37.5" customHeight="1">
      <x:c r="A62" s="12" t="str">
        <x:v>E12</x:v>
      </x:c>
      <x:c r="B62" s="18" t="n">
        <x:v>287</x:v>
      </x:c>
      <x:c r="C62" s="12" t="str">
        <x:v>lows, and the librarian starts to
 reason, not just retrieve. Everything on it is yours, stored locally, p</x:v>
      </x:c>
      <x:c r="D62" s="12" t="str">
        <x:v>C10 C44</x:v>
      </x:c>
    </x:row>
    <x:row r="63" ht="37.5" customHeight="1">
      <x:c r="A63" s="12" t="str">
        <x:v>E12</x:v>
      </x:c>
      <x:c r="B63" s="18" t="n">
        <x:v>33</x:v>
      </x:c>
      <x:c r="C63" s="12" t="str">
        <x:v>accelerators.
 The seminal paper “Attention Is All You Need” achieved a profound structural breakthrough by</x:v>
      </x:c>
      <x:c r="D63" s="12" t="str">
        <x:v>C10 C44</x:v>
      </x:c>
    </x:row>
    <x:row r="64" ht="37.5" customHeight="1">
      <x:c r="A64" s="12" t="str">
        <x:v>E12</x:v>
      </x:c>
      <x:c r="B64" s="18" t="n">
        <x:v>34</x:v>
      </x:c>
      <x:c r="C64" s="12" t="str">
        <x:v>lified version of the arcade game “Pong”.
 The significance of the DishBrain architecture lies in its a</x:v>
      </x:c>
      <x:c r="D64" s="12" t="str">
        <x:v>C10 C44</x:v>
      </x:c>
    </x:row>
    <x:row r="65" ht="37.5" customHeight="1">
      <x:c r="A65" s="12" t="str">
        <x:v>E13</x:v>
      </x:c>
      <x:c r="B65" s="18" t="n">
        <x:v>143</x:v>
      </x:c>
      <x:c r="C65" s="12" t="str">
        <x:v>rage of human thought.
 The model collapses. It begins to output repetitive, low-variance mush: the same sa</x:v>
      </x:c>
      <x:c r="D65" s="12" t="str">
        <x:v>C09</x:v>
      </x:c>
    </x:row>
    <x:row r="66" ht="37.5" customHeight="1">
      <x:c r="A66" s="12" t="str">
        <x:v>E13</x:v>
      </x:c>
      <x:c r="B66" s="18" t="n">
        <x:v>222</x:v>
      </x:c>
      <x:c r="C66" s="12" t="str">
        <x:v>E     SPIRAL         OF   MODEL    COLLAPSE
                                                    HIGH-QUAL</x:v>
      </x:c>
      <x:c r="D66" s="12" t="str">
        <x:v>C09</x:v>
      </x:c>
    </x:row>
    <x:row r="67" ht="37.5" customHeight="1">
      <x:c r="A67" s="12" t="str">
        <x:v>E13</x:v>
      </x:c>
      <x:c r="B67" s="18" t="n">
        <x:v>246</x:v>
      </x:c>
      <x:c r="C67" s="12" t="str">
        <x:v>e fuck up. Nothing new needs to be invented. The pieces are already on the board; they just need
 to be scal</x:v>
      </x:c>
      <x:c r="D67" s="12" t="str">
        <x:v>C09</x:v>
      </x:c>
    </x:row>
    <x:row r="68" ht="37.5" customHeight="1">
      <x:c r="A68" s="12" t="str">
        <x:v>E14</x:v>
      </x:c>
      <x:c r="B68" s="18" t="n">
        <x:v>102</x:v>
      </x:c>
      <x:c r="C68" s="12" t="str">
        <x:v>dopamine baseline spike and crash</x:v>
      </x:c>
      <x:c r="D68" s="12" t="str">
        <x:v>C19</x:v>
      </x:c>
    </x:row>
    <x:row r="69" ht="37.5" customHeight="1">
      <x:c r="A69" s="12" t="str">
        <x:v>E14</x:v>
      </x:c>
      <x:c r="B69" s="18" t="n">
        <x:v>109</x:v>
      </x:c>
      <x:c r="C69" s="12" t="str">
        <x:v>happens on its own.
 Within about forty-eight hours your dopamine receptors begin to up-regulate. The constant</x:v>
      </x:c>
      <x:c r="D69" s="12" t="str">
        <x:v>C19</x:v>
      </x:c>
    </x:row>
    <x:row r="70" ht="37.5" customHeight="1">
      <x:c r="A70" s="12" t="str">
        <x:v>E14</x:v>
      </x:c>
      <x:c r="B70" s="18" t="n">
        <x:v>106</x:v>
      </x:c>
      <x:c r="C70" s="12" t="str">
        <x:v>Protocol 1: The No-Notifications Lockdown
 Your phone should never be allowed to interrupt you.</x:v>
      </x:c>
      <x:c r="D70" s="12" t="str">
        <x:v>C19</x:v>
      </x:c>
    </x:row>
    <x:row r="71" ht="37.5" customHeight="1">
      <x:c r="A71" s="12" t="str">
        <x:v>E14</x:v>
      </x:c>
      <x:c r="B71" s="18" t="n">
        <x:v>229</x:v>
      </x:c>
      <x:c r="C71" s="12" t="str">
        <x:v>where it was still Tuesday.
 The mesh held. That’s the sentence Elijah had been building toward for a</x:v>
      </x:c>
      <x:c r="D71" s="12" t="str">
        <x:v>C19</x:v>
      </x:c>
    </x:row>
    <x:row r="72" ht="37.5" customHeight="1">
      <x:c r="A72" s="12" t="str">
        <x:v>E15</x:v>
      </x:c>
      <x:c r="B72" s="18" t="n">
        <x:v>112</x:v>
      </x:c>
      <x:c r="C72" s="12" t="str">
        <x:v>maintenance cost per capita drops exponentially:
     E_maintenance, per capita ∝ (1) / (N)
 Where N is the</x:v>
      </x:c>
      <x:c r="D72" s="12" t="str">
        <x:v>C17 C18</x:v>
      </x:c>
    </x:row>
    <x:row r="73" ht="37.5" customHeight="1">
      <x:c r="A73" s="12" t="str">
        <x:v>E15</x:v>
      </x:c>
      <x:c r="B73" s="18" t="n">
        <x:v>113</x:v>
      </x:c>
      <x:c r="C73" s="12" t="str">
        <x:v>ximizing long-term payoffs becomes Tit-for-Tat with
 Forgiveness:
        1. Start with Trust: Cooperate on th</x:v>
      </x:c>
      <x:c r="D73" s="12" t="str">
        <x:v>C17 C18</x:v>
      </x:c>
    </x:row>
    <x:row r="74" ht="37.5" customHeight="1">
      <x:c r="A74" s="12" t="str">
        <x:v>E15</x:v>
      </x:c>
      <x:c r="B74" s="18" t="n">
        <x:v>114</x:v>
      </x:c>
      <x:c r="C74" s="12" t="str">
        <x:v>keep each circle under Dunbar's ~150 · federate circles instead of growing one
     Trust network</x:v>
      </x:c>
      <x:c r="D74" s="12" t="str">
        <x:v>C17 C18</x:v>
      </x:c>
    </x:row>
    <x:row r="75" ht="37.5" customHeight="1">
      <x:c r="A75" s="12" t="str">
        <x:v>E16</x:v>
      </x:c>
      <x:c r="B75" s="18" t="n">
        <x:v>124</x:v>
      </x:c>
      <x:c r="C75" s="12" t="str">
        <x:v>ty and start drawing it around the region. A
 dense core does not have to make everything inside its own l</x:v>
      </x:c>
      <x:c r="D75" s="12" t="str">
        <x:v>C14</x:v>
      </x:c>
    </x:row>
    <x:row r="76" ht="37.5" customHeight="1">
      <x:c r="A76" s="12" t="str">
        <x:v>E16</x:v>
      </x:c>
      <x:c r="B76" s="18" t="n">
        <x:v>134</x:v>
      </x:c>
      <x:c r="C76" s="12" t="str">
        <x:v>automated, highly productive, and completely
 disconnected from the fossil-fuel industrial supply lines. If t</x:v>
      </x:c>
      <x:c r="D76" s="12" t="str">
        <x:v>C14</x:v>
      </x:c>
    </x:row>
    <x:row r="77" ht="37.5" customHeight="1">
      <x:c r="A77" s="12" t="str">
        <x:v>E16</x:v>
      </x:c>
      <x:c r="B77" s="18" t="n">
        <x:v>200</x:v>
      </x:c>
      <x:c r="C77" s="12" t="str">
        <x:v>Reclaiming Your Logistics: The Short Loop
 To survive in the cracks, we have to build the Short Loop.
 T</x:v>
      </x:c>
      <x:c r="D77" s="12" t="str">
        <x:v>C14</x:v>
      </x:c>
    </x:row>
    <x:row r="78" ht="37.5" customHeight="1">
      <x:c r="A78" s="12" t="str">
        <x:v>E17</x:v>
      </x:c>
      <x:c r="B78" s="18" t="n">
        <x:v>130</x:v>
      </x:c>
      <x:c r="C78" s="12" t="str">
        <x:v>us, dense raised bed. A heavy-duty gantry, operating on aluminum V-slot rails, spans the
 length of the be</x:v>
      </x:c>
      <x:c r="D78" s="12" t="str">
        <x:v>C23 C54</x:v>
      </x:c>
    </x:row>
    <x:row r="79" ht="37.5" customHeight="1">
      <x:c r="A79" s="12" t="str">
        <x:v>E17</x:v>
      </x:c>
      <x:c r="B79" s="18" t="n">
        <x:v>171</x:v>
      </x:c>
      <x:c r="C79" s="12" t="str">
        <x:v>Shouse-3, freshly harvested by the Raspberry Pi-
           controlled greenhouse systems.
         • We leav</x:v>
      </x:c>
      <x:c r="D79" s="12" t="str">
        <x:v>C23 C54</x:v>
      </x:c>
    </x:row>
    <x:row r="80" ht="37.5" customHeight="1">
      <x:c r="A80" s="12" t="str">
        <x:v>E17</x:v>
      </x:c>
      <x:c r="B80" s="18" t="n">
        <x:v>170</x:v>
      </x:c>
      <x:c r="C80" s="12" t="str">
        <x:v>algorithm:
     minimize (total human metabolic effort + total tool transit distance)
 That is: the p</x:v>
      </x:c>
      <x:c r="D80" s="12" t="str">
        <x:v>C23 C54</x:v>
      </x:c>
    </x:row>
    <x:row r="81" ht="37.5" customHeight="1">
      <x:c r="A81" s="12" t="str">
        <x:v>E17</x:v>
      </x:c>
      <x:c r="B81" s="18" t="n">
        <x:v>170</x:v>
      </x:c>
      <x:c r="C81" s="12" t="str">
        <x:v>actice? Let’s walk through how our elder neighbor gets her yard cleared
 and her pantry filled without a single di</x:v>
      </x:c>
      <x:c r="D81" s="12" t="str">
        <x:v>C23 C54</x:v>
      </x:c>
    </x:row>
    <x:row r="82" ht="37.5" customHeight="1">
      <x:c r="A82" s="12" t="str">
        <x:v>E18</x:v>
      </x:c>
      <x:c r="B82" s="18" t="n">
        <x:v>166</x:v>
      </x:c>
      <x:c r="C82" s="12" t="str">
        <x:v>depends on the
 city’s health. Buy land.
 Buy as much raw land as you can afford to hold. The goal is t</x:v>
      </x:c>
      <x:c r="D82" s="12" t="str">
        <x:v>C16</x:v>
      </x:c>
    </x:row>
    <x:row r="83" ht="37.5" customHeight="1">
      <x:c r="A83" s="12" t="str">
        <x:v>E18</x:v>
      </x:c>
      <x:c r="B83" s="18" t="n">
        <x:v>211</x:v>
      </x:c>
      <x:c r="C83" s="12" t="str">
        <x:v>mpt to buy agricultural land as an isolated
 individual, you are bringing a knife to a laser fight. You will</x:v>
      </x:c>
      <x:c r="D83" s="12" t="str">
        <x:v>C16</x:v>
      </x:c>
    </x:row>
    <x:row r="84" ht="37.5" customHeight="1">
      <x:c r="A84" s="12" t="str">
        <x:v>E18</x:v>
      </x:c>
      <x:c r="B84" s="18" t="n">
        <x:v>174</x:v>
      </x:c>
      <x:c r="C84" s="12" t="str">
        <x:v>Acres (United States, 1862)
 The Homestead Act was signed in May 1862, and the timing is the entire lesson:</x:v>
      </x:c>
      <x:c r="D84" s="12" t="str">
        <x:v>C16</x:v>
      </x:c>
    </x:row>
    <x:row r="85" ht="37.5" customHeight="1">
      <x:c r="A85" s="12" t="str">
        <x:v>E19</x:v>
      </x:c>
      <x:c r="B85" s="18" t="n">
        <x:v>169</x:v>
      </x:c>
      <x:c r="C85" s="12" t="str">
        <x:v>automated nodes run at ~300% of their own need; the surplus carries whoever cannot produce</x:v>
      </x:c>
      <x:c r="D85" s="12" t="str">
        <x:v>C15 C24</x:v>
      </x:c>
    </x:row>
    <x:row r="86" ht="37.5" customHeight="1">
      <x:c r="A86" s="12" t="str">
        <x:v>E19</x:v>
      </x:c>
      <x:c r="B86" s="18" t="n">
        <x:v>170</x:v>
      </x:c>
      <x:c r="C86" s="12" t="str">
        <x:v>s own, and anyone promising you a
 guaranteed multiple of your metabolic requirement is selling something. What is real</x:v>
      </x:c>
      <x:c r="D86" s="12" t="str">
        <x:v>C15 C24</x:v>
      </x:c>
    </x:row>
    <x:row r="87" ht="37.5" customHeight="1">
      <x:c r="A87" s="12" t="str">
        <x:v>E19</x:v>
      </x:c>
      <x:c r="B87" s="18" t="n">
        <x:v>216</x:v>
      </x:c>
      <x:c r="C87" s="12" t="str">
        <x:v>hey were producing on the order of forty percent of the fresh
 vegetables consumed in the country. Read that numb</x:v>
      </x:c>
      <x:c r="D87" s="12" t="str">
        <x:v>C15 C24</x:v>
      </x:c>
    </x:row>
    <x:row r="88" ht="37.5" customHeight="1">
      <x:c r="A88" s="12" t="str">
        <x:v>E19</x:v>
      </x:c>
      <x:c r="B88" s="18" t="n">
        <x:v>170</x:v>
      </x:c>
      <x:c r="C88" s="12" t="str">
        <x:v>zation
           algorithm:
     minimize (total human metabolic effort + total tool transit distance)
 T</x:v>
      </x:c>
      <x:c r="D88" s="12" t="str">
        <x:v>C15 C24</x:v>
      </x:c>
    </x:row>
    <x:row r="89" ht="37.5" customHeight="1">
      <x:c r="A89" s="12" t="str">
        <x:v>E19</x:v>
      </x:c>
      <x:c r="B89" s="18" t="n">
        <x:v>169</x:v>
      </x:c>
      <x:c r="C89" s="12" t="str">
        <x:v>er cannot produce
                 E-net = Σ automated yield − Σ basic demand · in this network, positive</x:v>
      </x:c>
      <x:c r="D89" s="12" t="str">
        <x:v>C15 C24</x:v>
      </x:c>
    </x:row>
    <x:row r="90" ht="37.5" customHeight="1">
      <x:c r="A90" s="12" t="str">
        <x:v>E19</x:v>
      </x:c>
      <x:c r="B90" s="18" t="n">
        <x:v>171</x:v>
      </x:c>
      <x:c r="C90" s="12" t="str">
        <x:v>d: Shouse-1 Tractor + Shouse-3 Woodchipper              |
     | Target Calories: 15,000 kcal surplus assig</x:v>
      </x:c>
      <x:c r="D90" s="12" t="str">
        <x:v>C15 C24</x:v>
      </x:c>
    </x:row>
    <x:row r="91" ht="37.5" customHeight="1">
      <x:c r="A91" s="12" t="str">
        <x:v>E20</x:v>
      </x:c>
      <x:c r="B91" s="18" t="n">
        <x:v>132</x:v>
      </x:c>
      <x:c r="C91" s="12" t="str">
        <x:v>el in your compost tea drops below 6.0 mg/L, the solution will go anaerobic. This allows
 pathogenic bacteri</x:v>
      </x:c>
      <x:c r="D91" s="12" t="str">
        <x:v>C20 C21 C22</x:v>
      </x:c>
    </x:row>
    <x:row r="92" ht="37.5" customHeight="1">
      <x:c r="A92" s="12" t="str">
        <x:v>E20</x:v>
      </x:c>
      <x:c r="B92" s="18" t="n">
        <x:v>134</x:v>
      </x:c>
      <x:c r="C92" s="12" t="str">
        <x:v>◦ 50 mL of Unsulfured Blackstrap Molasses: Simple sugars to fuel rapid bacterial
                    multi</x:v>
      </x:c>
      <x:c r="D92" s="12" t="str">
        <x:v>C20 C21 C22</x:v>
      </x:c>
    </x:row>
    <x:row r="93" ht="37.5" customHeight="1">
      <x:c r="A93" s="12" t="str">
        <x:v>E20</x:v>
      </x:c>
      <x:c r="B93" s="18" t="n">
        <x:v>134</x:v>
      </x:c>
      <x:c r="C93" s="12" t="str">
        <x:v>sprayed directly onto crop leaves (foliar feeding), this brew coats the
 surfaces with protective, benefic</x:v>
      </x:c>
      <x:c r="D93" s="12" t="str">
        <x:v>C20 C21 C22</x:v>
      </x:c>
    </x:row>
    <x:row r="94" ht="37.5" customHeight="1">
      <x:c r="A94" s="12" t="str">
        <x:v>E20</x:v>
      </x:c>
      <x:c r="B94" s="18" t="n">
        <x:v>132</x:v>
      </x:c>
      <x:c r="C94" s="12" t="str">
        <x:v>15°C → 9.1 mg/L ✓</x:v>
      </x:c>
      <x:c r="D94" s="12" t="str">
        <x:v>C20 C21 C22</x:v>
      </x:c>
    </x:row>
    <x:row r="95" ht="37.5" customHeight="1">
      <x:c r="A95" s="12" t="str">
        <x:v>E20</x:v>
      </x:c>
      <x:c r="B95" s="18" t="n">
        <x:v>133</x:v>
      </x:c>
      <x:c r="C95" s="12" t="str">
        <x:v>ndence formula:
     C_DO, sat ≈ (468) / (31.6 + T) [mg/L]
 Where T is the temperature of the water i</x:v>
      </x:c>
      <x:c r="D95" s="12" t="str">
        <x:v>C20 C21 C22</x:v>
      </x:c>
    </x:row>
    <x:row r="96" ht="37.5" customHeight="1">
      <x:c r="A96" s="12" t="str">
        <x:v>E20</x:v>
      </x:c>
      <x:c r="B96" s="18" t="n">
        <x:v>133</x:v>
      </x:c>
      <x:c r="C96" s="12" t="str">
        <x:v>ely
           outgas the volatile chlorine sanitizers.
       2. The Inoculant: Place 2 kg of fresh, biolo</x:v>
      </x:c>
      <x:c r="D96" s="12" t="str">
        <x:v>C20 C21 C22</x:v>
      </x:c>
    </x:row>
    <x:row r="97" ht="37.5" customHeight="1">
      <x:c r="A97" s="12" t="str">
        <x:v>E20</x:v>
      </x:c>
      <x:c r="B97" s="18" t="n">
        <x:v>128</x:v>
      </x:c>
      <x:c r="C97" s="12" t="str">
        <x:v>SALTS KILL NATIVE SOIL BIOLOGY
                                                     fun</x:v>
      </x:c>
      <x:c r="D97" s="12" t="str">
        <x:v>C20 C21 C22</x:v>
      </x:c>
    </x:row>
    <x:row r="98" ht="37.5" customHeight="1">
      <x:c r="A98" s="12" t="str">
        <x:v>E20</x:v>
      </x:c>
      <x:c r="B98" s="18" t="n">
        <x:v>134</x:v>
      </x:c>
      <x:c r="C98" s="12" t="str">
        <x:v>ro weather.
       3. The Off-Grid Closed Loop: Never import chemical pesticides or commercial seeds. Save</x:v>
      </x:c>
      <x:c r="D98" s="12" t="str">
        <x:v>C20 C21 C22</x:v>
      </x:c>
    </x:row>
    <x:row r="99" ht="37.5" customHeight="1">
      <x:c r="A99" s="12" t="str">
        <x:v>E21</x:v>
      </x:c>
      <x:c r="B99" s="18" t="n">
        <x:v>215</x:v>
      </x:c>
      <x:c r="C99" s="12" t="str">
        <x:v>-mulch systems), we can turn dead, sterile dirt into a highly productive, self-fertilizing
 biological engi</x:v>
      </x:c>
      <x:c r="D99" s="12" t="str">
        <x:v>C33 C34</x:v>
      </x:c>
    </x:row>
    <x:row r="100" ht="37.5" customHeight="1">
      <x:c r="A100" s="12" t="str">
        <x:v>E21</x:v>
      </x:c>
      <x:c r="B100" s="18" t="n">
        <x:v>207</x:v>
      </x:c>
      <x:c r="C100" s="12" t="str">
        <x:v>t one end where a tractor had bled hydraulic fluid through
 the Clinton administration. Priya chose it on pur</x:v>
      </x:c>
      <x:c r="D100" s="12" t="str">
        <x:v>C33 C34</x:v>
      </x:c>
    </x:row>
    <x:row r="101" ht="37.5" customHeight="1">
      <x:c r="A101" s="12" t="str">
        <x:v>E21</x:v>
      </x:c>
      <x:c r="B101" s="18" t="n">
        <x:v>208</x:v>
      </x:c>
      <x:c r="C101" s="12" t="str">
        <x:v>ation controller had actually been watering the tea
 beds a touch more. “I can’t find your effect,” he sa</x:v>
      </x:c>
      <x:c r="D101" s="12" t="str">
        <x:v>C33 C34</x:v>
      </x:c>
    </x:row>
    <x:row r="102" ht="37.5" customHeight="1">
      <x:c r="A102" s="12" t="str">
        <x:v>E22</x:v>
      </x:c>
      <x:c r="B102" s="18" t="n">
        <x:v>155</x:v>
      </x:c>
      <x:c r="C102" s="12" t="str">
        <x:v>locally
 and at high speeds, your CPU is useless. The bottleneck is not processing speed; it is memory</x:v>
      </x:c>
      <x:c r="D102" s="12" t="str">
        <x:v>C25 C26 C27</x:v>
      </x:c>
    </x:row>
    <x:row r="103" ht="37.5" customHeight="1">
      <x:c r="A103" s="12" t="str">
        <x:v>E22</x:v>
      </x:c>
      <x:c r="B103" s="18" t="n">
        <x:v>155</x:v>
      </x:c>
      <x:c r="C103" s="12" t="str">
        <x:v>wall
 bricks, no meter.
 The LLM VRAM Bottleneck
 To run modern, high-capability generative models (s</x:v>
      </x:c>
      <x:c r="D103" s="12" t="str">
        <x:v>C25 C26 C27</x:v>
      </x:c>
    </x:row>
    <x:row r="104" ht="37.5" customHeight="1">
      <x:c r="A104" s="12" t="str">
        <x:v>E22</x:v>
      </x:c>
      <x:c r="B104" s="18" t="n">
        <x:v>158</x:v>
      </x:c>
      <x:c r="C104" s="12" t="str">
        <x:v>llama
        ports:
           - "11434:11434"
        deploy:
           resources:
              reser</x:v>
      </x:c>
      <x:c r="D104" s="12" t="str">
        <x:v>C25 C26 C27</x:v>
      </x:c>
    </x:row>
    <x:row r="105" ht="37.5" customHeight="1">
      <x:c r="A105" s="12" t="str">
        <x:v>E22</x:v>
      </x:c>
      <x:c r="B105" s="18" t="n">
        <x:v>170</x:v>
      </x:c>
      <x:c r="C105" s="12" t="str">
        <x:v>he nearest Shouse Node, the local, air-gapped server (The Crucible, running the offline LLM
 stacks detailed i</x:v>
      </x:c>
      <x:c r="D105" s="12" t="str">
        <x:v>C25 C26 C27</x:v>
      </x:c>
    </x:row>
    <x:row r="106" ht="37.5" customHeight="1">
      <x:c r="A106" s="12" t="str">
        <x:v>E22</x:v>
      </x:c>
      <x:c r="B106" s="18" t="n">
        <x:v>105</x:v>
      </x:c>
      <x:c r="C106" s="12" t="str">
        <x:v>cation.
 The Cognitive Firewall: Air-Gapping Your Mind
 To take your mental agency back, treat your</x:v>
      </x:c>
      <x:c r="D106" s="12" t="str">
        <x:v>C25 C26 C27</x:v>
      </x:c>
    </x:row>
    <x:row r="107" ht="37.5" customHeight="1">
      <x:c r="A107" s="12" t="str">
        <x:v>E22</x:v>
      </x:c>
      <x:c r="B107" s="18" t="n">
        <x:v>159</x:v>
      </x:c>
      <x:c r="C107" s="12" t="str">
        <x:v>mic audit: it reads local hardware sensors (temperature, battery
 voltage from your BMS, and storage capac</x:v>
      </x:c>
      <x:c r="D107" s="12" t="str">
        <x:v>C25 C26 C27</x:v>
      </x:c>
    </x:row>
    <x:row r="108" ht="37.5" customHeight="1">
      <x:c r="A108" s="12" t="str">
        <x:v>E22</x:v>
      </x:c>
      <x:c r="B108" s="18" t="n">
        <x:v>159</x:v>
      </x:c>
      <x:c r="C108" s="12" t="str">
        <x:v>infrastructure. Below is a highly robust,
 localized Python script (arena.py) designed to interface direc</x:v>
      </x:c>
      <x:c r="D108" s="12" t="str">
        <x:v>C25 C26 C27</x:v>
      </x:c>
    </x:row>
    <x:row r="109" ht="37.5" customHeight="1">
      <x:c r="A109" s="12" t="str">
        <x:v>E22</x:v>
      </x:c>
      <x:c r="B109" s="18" t="n">
        <x:v>161</x:v>
      </x:c>
      <x:c r="C109" s="12" t="str">
        <x:v>ur property boundary.
       2. No-Updates Policy: Once your server is configured, running, and the local m</x:v>
      </x:c>
      <x:c r="D109" s="12" t="str">
        <x:v>C25 C26 C27</x:v>
      </x:c>
    </x:row>
    <x:row r="110" ht="37.5" customHeight="1">
      <x:c r="A110" s="12" t="str">
        <x:v>E23</x:v>
      </x:c>
      <x:c r="B110" s="18" t="n">
        <x:v>134</x:v>
      </x:c>
      <x:c r="C110" s="12" t="str">
        <x:v>ation: Run a loop of your server’s cooling fluid (from Chapter
           11) through a serpentine network of PEX</x:v>
      </x:c>
      <x:c r="D110" s="12" t="str">
        <x:v>C28 C30</x:v>
      </x:c>
    </x:row>
    <x:row r="111" ht="37.5" customHeight="1">
      <x:c r="A111" s="12" t="str">
        <x:v>E23</x:v>
      </x:c>
      <x:c r="B111" s="18" t="n">
        <x:v>156</x:v>
      </x:c>
      <x:c r="C111" s="12" t="str">
        <x:v>om Thermodynamic Cooling (External Heat Exchange)
 If you run a server chassis containing dual Xeon CPU</x:v>
      </x:c>
      <x:c r="D111" s="12" t="str">
        <x:v>C28 C30</x:v>
      </x:c>
    </x:row>
    <x:row r="112" ht="37.5" customHeight="1">
      <x:c r="A112" s="12" t="str">
        <x:v>E23</x:v>
      </x:c>
      <x:c r="B112" s="18" t="n">
        <x:v>161</x:v>
      </x:c>
      <x:c r="C112" s="12" t="str">
        <x:v>run_crucible_loop()
 Section 5: Execution Protocol
        1. The Physical Sandbox: Your serve</x:v>
      </x:c>
      <x:c r="D112" s="12" t="str">
        <x:v>C28 C30</x:v>
      </x:c>
    </x:row>
    <x:row r="113" ht="37.5" customHeight="1">
      <x:c r="A113" s="12" t="str">
        <x:v>E23</x:v>
      </x:c>
      <x:c r="B113" s="18" t="n">
        <x:v>187</x:v>
      </x:c>
      <x:c r="C113" s="12" t="str">
        <x:v>2 mm     75 mm · R-21
                        Q = k·A·ΔT / d → drive k down with foa</x:v>
      </x:c>
      <x:c r="D113" s="12" t="str">
        <x:v>C28 C30</x:v>
      </x:c>
    </x:row>
    <x:row r="114" ht="37.5" customHeight="1">
      <x:c r="A114" s="12" t="str">
        <x:v>E23</x:v>
      </x:c>
      <x:c r="B114" s="18" t="n">
        <x:v>188</x:v>
      </x:c>
      <x:c r="C114" s="12" t="str">
        <x:v>-foot structure drops to less than 500 watts of continuous energy. You can
           heat your entire fortre</x:v>
      </x:c>
      <x:c r="D114" s="12" t="str">
        <x:v>C28 C30</x:v>
      </x:c>
    </x:row>
    <x:row r="115" ht="37.5" customHeight="1">
      <x:c r="A115" s="12" t="str">
        <x:v>E24</x:v>
      </x:c>
      <x:c r="B115" s="18" t="n">
        <x:v>183</x:v>
      </x:c>
      <x:c r="C115" s="12" t="str">
        <x:v>allow = 24,525 N / 100,000 N/m^2 = 0.245 m^2
 A square pier footing of 50 cm × 50 cm (0.25 m^2) is mathe</x:v>
      </x:c>
      <x:c r="D115" s="12" t="str">
        <x:v>C29 C31</x:v>
      </x:c>
    </x:row>
    <x:row r="116" ht="37.5" customHeight="1">
      <x:c r="A116" s="12" t="str">
        <x:v>E24</x:v>
      </x:c>
      <x:c r="B116" s="18" t="n">
        <x:v>185</x:v>
      </x:c>
      <x:c r="C116" s="12" t="str">
        <x:v>^6 N/
     m^2 ≈ 2.1 × 10^-5 m^3 = 21 cm^3
Surviving the Singularity ·v0.7.4</x:v>
      </x:c>
      <x:c r="D116" s="12" t="str">
        <x:v>C29 C31</x:v>
      </x:c>
    </x:row>
    <x:row r="117" ht="37.5" customHeight="1">
      <x:c r="A117" s="12" t="str">
        <x:v>E24</x:v>
      </x:c>
      <x:c r="B117" s="18" t="n">
        <x:v>186</x:v>
      </x:c>
      <x:c r="C117" s="12" t="str">
        <x:v>the ceiling without any measurable deflection.
 The Construction Steps
        1. The Columns: Before you cu</x:v>
      </x:c>
      <x:c r="D117" s="12" t="str">
        <x:v>C29 C31</x:v>
      </x:c>
    </x:row>
    <x:row r="118" ht="37.5" customHeight="1">
      <x:c r="A118" s="12" t="str">
        <x:v>E24</x:v>
      </x:c>
      <x:c r="B118" s="18" t="n">
        <x:v>182</x:v>
      </x:c>
      <x:c r="C118" s="12" t="str">
        <x:v>ring a large slab, their
 building inspectors will descend upon you like locusts, demanding architectural s</x:v>
      </x:c>
      <x:c r="D118" s="12" t="str">
        <x:v>C29 C31</x:v>
      </x:c>
    </x:row>
    <x:row r="119" ht="37.5" customHeight="1">
      <x:c r="A119" s="12" t="str">
        <x:v>E24</x:v>
      </x:c>
      <x:c r="B119" s="18" t="n">
        <x:v>188</x:v>
      </x:c>
      <x:c r="C119" s="12" t="str">
        <x:v>r
           or a single miniature wood stove, and cool it in 100°F summers with a small, 12-volt DC mini-</x:v>
      </x:c>
      <x:c r="D119" s="12" t="str">
        <x:v>C29 C31</x:v>
      </x:c>
    </x:row>
    <x:row r="120" ht="37.5" customHeight="1">
      <x:c r="A120" s="12" t="str">
        <x:v>E24</x:v>
      </x:c>
      <x:c r="B120" s="18" t="n">
        <x:v>188</x:v>
      </x:c>
      <x:c r="C120" s="12" t="str">
        <x:v>greywater → garden beds</x:v>
      </x:c>
      <x:c r="D120" s="12" t="str">
        <x:v>C29 C31</x:v>
      </x:c>
    </x:row>
    <x:row r="121" ht="37.5" customHeight="1">
      <x:c r="A121" s="12" t="str">
        <x:v>E24</x:v>
      </x:c>
      <x:c r="B121" s="18" t="n">
        <x:v>189</x:v>
      </x:c>
      <x:c r="C121" s="12" t="str">
        <x:v>d, covered with a thick
           waterproof membrane (like Schluter-Ditra), and tiled or coated in seam</x:v>
      </x:c>
      <x:c r="D121" s="12" t="str">
        <x:v>C29 C31</x:v>
      </x:c>
    </x:row>
    <x:row r="122" ht="37.5" customHeight="1">
      <x:c r="A122" s="12" t="str">
        <x:v>E25</x:v>
      </x:c>
      <x:c r="B122" s="18" t="n">
        <x:v>198</x:v>
      </x:c>
      <x:c r="C122" s="12" t="str">
        <x:v>d every buffer out; you are always 72 hours from empty
  The Logistic Shockwave: a four-day cascad</x:v>
      </x:c>
      <x:c r="D122" s="12" t="str">
        <x:v>C32</x:v>
      </x:c>
    </x:row>
    <x:row r="123" ht="37.5" customHeight="1">
      <x:c r="A123" s="12" t="str">
        <x:v>E25</x:v>
      </x:c>
      <x:c r="B123" s="18" t="n">
        <x:v>201</x:v>
      </x:c>
      <x:c r="C123" s="12" t="str">
        <x:v>ht of the old world: approximately 40% of all food
 produced within global distribution systems was di</x:v>
      </x:c>
      <x:c r="D123" s="12" t="str">
        <x:v>C32</x:v>
      </x:c>
    </x:row>
    <x:row r="124" ht="37.5" customHeight="1">
      <x:c r="A124" s="12" t="str">
        <x:v>E25</x:v>
      </x:c>
      <x:c r="B124" s="18" t="n">
        <x:v>258</x:v>
      </x:c>
      <x:c r="C124" s="12" t="str">
        <x:v>dden, catastrophic
 disruptions in food, water, communication, and energy; and
 WHEREAS, approximately</x:v>
      </x:c>
      <x:c r="D124" s="12" t="str">
        <x:v>C32</x:v>
      </x:c>
    </x:row>
    <x:row r="125" ht="37.5" customHeight="1">
      <x:c r="A125" s="12" t="str">
        <x:v>E26</x:v>
      </x:c>
      <x:c r="B125" s="18" t="n">
        <x:v>224</x:v>
      </x:c>
      <x:c r="C125" s="12" t="str">
        <x:v>2. The P2P Distribution Matrix (IPFS)
 Instead of uploading files to a centralized database (like AW</x:v>
      </x:c>
      <x:c r="D125" s="12" t="str">
        <x:v>C35 C36 C37</x:v>
      </x:c>
    </x:row>
    <x:row r="126" ht="37.5" customHeight="1">
      <x:c r="A126" s="12" t="str">
        <x:v>E26</x:v>
      </x:c>
      <x:c r="B126" s="18" t="n">
        <x:v>225</x:v>
      </x:c>
      <x:c r="C126" s="12" t="str">
        <x:v>of the peer-to-peer network.
 3. Sneakernets: The Physical Air-Gap
 When the centralized internet goes d</x:v>
      </x:c>
      <x:c r="D126" s="12" t="str">
        <x:v>C35 C36 C37</x:v>
      </x:c>
    </x:row>
    <x:row r="127" ht="37.5" customHeight="1">
      <x:c r="A127" s="12" t="str">
        <x:v>E26</x:v>
      </x:c>
      <x:c r="B127" s="18" t="n">
        <x:v>224</x:v>
      </x:c>
      <x:c r="C127" s="12" t="str">
        <x:v>ou take with a smartphone contains EXIF
 metadata, hidden files that store the exact GPS coordinates, th</x:v>
      </x:c>
      <x:c r="D127" s="12" t="str">
        <x:v>C35 C36 C37</x:v>
      </x:c>
    </x:row>
    <x:row r="128" ht="37.5" customHeight="1">
      <x:c r="A128" s="12" t="str">
        <x:v>E26</x:v>
      </x:c>
      <x:c r="B128" s="18" t="n">
        <x:v>145</x:v>
      </x:c>
      <x:c r="C128" s="12" t="str">
        <x:v>contaminated by model collapse.
 Algorithmic Judo: Weaponizing the Feedback Loop
 We do not just hide in t</x:v>
      </x:c>
      <x:c r="D128" s="12" t="str">
        <x:v>C35 C36 C37</x:v>
      </x:c>
    </x:row>
    <x:row r="129" ht="37.5" customHeight="1">
      <x:c r="A129" s="12" t="str">
        <x:v>E26</x:v>
      </x:c>
      <x:c r="B129" s="18" t="n">
        <x:v>224</x:v>
      </x:c>
      <x:c r="C129" s="12" t="str">
        <x:v>The algorithms will recognize its authenticity and push it past the slop-filters.
       2. The Payload (Tac</x:v>
      </x:c>
      <x:c r="D129" s="12" t="str">
        <x:v>C35 C36 C37</x:v>
      </x:c>
    </x:row>
    <x:row r="130" ht="37.5" customHeight="1">
      <x:c r="A130" s="12" t="str">
        <x:v>E26</x:v>
      </x:c>
      <x:c r="B130" s="18" t="n">
        <x:v>220</x:v>
      </x:c>
      <x:c r="C130" s="12" t="str">
        <x:v>said. “Know what I was actually selling? Somebody who knows which part. You can’t download me.
 Him n</x:v>
      </x:c>
      <x:c r="D130" s="12" t="str">
        <x:v>C35 C36 C37</x:v>
      </x:c>
    </x:row>
    <x:row r="131" ht="37.5" customHeight="1">
      <x:c r="A131" s="12" t="str">
        <x:v>E27</x:v>
      </x:c>
      <x:c r="B131" s="18" t="n">
        <x:v>234</x:v>
      </x:c>
      <x:c r="C131" s="12" t="str">
        <x:v>ery holder containing two recycled 18650
           lithium-ion cells (salvaged from old laptop battery p</x:v>
      </x:c>
      <x:c r="D131" s="12" t="str">
        <x:v>C38 C39</x:v>
      </x:c>
    </x:row>
    <x:row r="132" ht="37.5" customHeight="1">
      <x:c r="A132" s="12" t="str">
        <x:v>E27</x:v>
      </x:c>
      <x:c r="B132" s="18" t="n">
        <x:v>241</x:v>
      </x:c>
      <x:c r="C132" s="12" t="str">
        <x:v>es in your area.
       2. Build a 12V Direct Current Power Supply: Find a discarded 12V car battery o</x:v>
      </x:c>
      <x:c r="D132" s="12" t="str">
        <x:v>C38 C39</x:v>
      </x:c>
    </x:row>
    <x:row r="133" ht="37.5" customHeight="1">
      <x:c r="A133" s="12" t="str">
        <x:v>E27</x:v>
      </x:c>
      <x:c r="B133" s="18" t="n">
        <x:v>233</x:v>
      </x:c>
      <x:c r="C133" s="12" t="str">
        <x:v>ordinary capabilities:
         • Micro-Watt Draw: A standard LoRa node consumes less than 0.1 watts when idl</x:v>
      </x:c>
      <x:c r="D133" s="12" t="str">
        <x:v>C38 C39</x:v>
      </x:c>
    </x:row>
    <x:row r="134" ht="37.5" customHeight="1">
      <x:c r="A134" s="12" t="str">
        <x:v>E27</x:v>
      </x:c>
      <x:c r="B134" s="18" t="n">
        <x:v>235</x:v>
      </x:c>
      <x:c r="C134" s="12" t="str">
        <x:v>zero conversion loss · no inverter to buy, cool, or fail</x:v>
      </x:c>
      <x:c r="D134" s="12" t="str">
        <x:v>C38 C39</x:v>
      </x:c>
    </x:row>
    <x:row r="135" ht="37.5" customHeight="1">
      <x:c r="A135" s="12" t="str">
        <x:v>E28</x:v>
      </x:c>
      <x:c r="B135" s="18" t="n">
        <x:v>116</x:v>
      </x:c>
      <x:c r="C135" s="12" t="str">
        <x:v>via a private, localized Wi-Fi or LoRa
           mesh network. Every member of the network has instant</x:v>
      </x:c>
      <x:c r="D135" s="12" t="str">
        <x:v>C40</x:v>
      </x:c>
    </x:row>
    <x:row r="136" ht="37.5" customHeight="1">
      <x:c r="A136" s="12" t="str">
        <x:v>E28</x:v>
      </x:c>
      <x:c r="B136" s="18" t="n">
        <x:v>203</x:v>
      </x:c>
      <x:c r="C136" s="12" t="str">
        <x:v>al Coordination: Simple, encrypted text messaging to organize communal work crews,
           farm shift</x:v>
      </x:c>
      <x:c r="D136" s="12" t="str">
        <x:v>C40</x:v>
      </x:c>
    </x:row>
    <x:row r="137" ht="37.5" customHeight="1">
      <x:c r="A137" s="12" t="str">
        <x:v>E28</x:v>
      </x:c>
      <x:c r="B137" s="18" t="n">
        <x:v>230</x:v>
      </x:c>
      <x:c r="C137" s="12" t="str">
        <x:v>ed it across two miles of storm at 900 megahertz, Marta asking
 the only question she ever asked, the o</x:v>
      </x:c>
      <x:c r="D137" s="12" t="str">
        <x:v>C40</x:v>
      </x:c>
    </x:row>
    <x:row r="138" ht="37.5" customHeight="1">
      <x:c r="A138" s="12" t="str">
        <x:v>E28</x:v>
      </x:c>
      <x:c r="B138" s="18" t="n">
        <x:v>230</x:v>
      </x:c>
      <x:c r="C138" s="12" t="str">
        <x:v>.
 Wrong image. He had flashed the 868-megahertz build onto a 915-megahertz board, Sunday, alone,
 conf</x:v>
      </x:c>
      <x:c r="D138" s="12" t="str">
        <x:v>C40</x:v>
      </x:c>
    </x:row>
    <x:row r="139" ht="37.5" customHeight="1">
      <x:c r="A139" s="12" t="str">
        <x:v>E29</x:v>
      </x:c>
      <x:c r="B139" s="18" t="n">
        <x:v>237</x:v>
      </x:c>
      <x:c r="C139" s="12" t="str">
        <x:v>ngth printing filament
           (PETG). You are literally turning plastic trash into custom engineerin</x:v>
      </x:c>
      <x:c r="D139" s="12" t="str">
        <x:v>C41</x:v>
      </x:c>
    </x:row>
    <x:row r="140" ht="37.5" customHeight="1">
      <x:c r="A140" s="12" t="str">
        <x:v>E29</x:v>
      </x:c>
      <x:c r="B140" s="18" t="n">
        <x:v>238</x:v>
      </x:c>
      <x:c r="C140" s="12" t="str">
        <x:v>icone tube. It grows roughly eight grams of algae a
 week. It is not finished, and he says so plainly in</x:v>
      </x:c>
      <x:c r="D140" s="12" t="str">
        <x:v>C41</x:v>
      </x:c>
    </x:row>
    <x:row r="141" ht="37.5" customHeight="1">
      <x:c r="A141" s="12" t="str">
        <x:v>E29</x:v>
      </x:c>
      <x:c r="B141" s="18" t="n">
        <x:v>240</x:v>
      </x:c>
      <x:c r="C141" s="12" t="str">
        <x:v>THE         LOOP:   THE   ALGAE    FISH-FOOD         CYCLE</x:v>
      </x:c>
      <x:c r="D141" s="12" t="str">
        <x:v>C41</x:v>
      </x:c>
    </x:row>
    <x:row r="142" ht="37.5" customHeight="1">
      <x:c r="A142" s="12" t="str">
        <x:v>E30</x:v>
      </x:c>
      <x:c r="B142" s="18" t="n">
        <x:v>286</x:v>
      </x:c>
      <x:c r="C142" s="12" t="str">
        <x:v>marine traffic, emergency nets.
 A phone does none of these once the account is suspended or the network is down. A</x:v>
      </x:c>
      <x:c r="D142" s="12" t="str">
        <x:v>C42</x:v>
      </x:c>
    </x:row>
    <x:row r="143" ht="37.5" customHeight="1">
      <x:c r="A143" s="12" t="str">
        <x:v>E30</x:v>
      </x:c>
      <x:c r="B143" s="18" t="n">
        <x:v>287</x:v>
      </x:c>
      <x:c r="C143" s="12" t="str">
        <x:v>from your browser, paired to your phone over Bluetooth. This is the mesh
 from Chapter 17 in your pocket</x:v>
      </x:c>
      <x:c r="D143" s="12" t="str">
        <x:v>C42</x:v>
      </x:c>
    </x:row>
    <x:row r="144" ht="37.5" customHeight="1">
      <x:c r="A144" s="12" t="str">
        <x:v>E30</x:v>
      </x:c>
      <x:c r="B144" s="18" t="n">
        <x:v>288</x:v>
      </x:c>
      <x:c r="C144" s="12" t="str">
        <x:v>s.
       2. Load a Librarian. Put Kiwix and one offline library, medical, repair, or the full Wikipedia,</x:v>
      </x:c>
      <x:c r="D144" s="12" t="str">
        <x:v>C42</x:v>
      </x:c>
    </x:row>
    <x:row r="145" ht="37.5" customHeight="1">
      <x:c r="A145" s="12" t="str">
        <x:v>E31</x:v>
      </x:c>
      <x:c r="B145" s="18" t="n">
        <x:v>165</x:v>
      </x:c>
      <x:c r="C145" s="12" t="str">
        <x:v>The trust buys the forty acres at honest appraisal. Irene keeps a life est</x:v>
      </x:c>
      <x:c r="D145" s="12" t="str">
        <x:v>C43</x:v>
      </x:c>
    </x:row>
    <x:row r="146" ht="37.5" customHeight="1">
      <x:c r="A146" s="12" t="str">
        <x:v>E31</x:v>
      </x:c>
      <x:c r="B146" s="18" t="n">
        <x:v>213</x:v>
      </x:c>
      <x:c r="C146" s="12" t="str">
        <x:v>lete exemption from local property taxes.
 The Biological Hack: Bypassing the Petrochemical Cartel</x:v>
      </x:c>
      <x:c r="D146" s="12" t="str">
        <x:v>C43</x:v>
      </x:c>
    </x:row>
    <x:row r="147" ht="37.5" customHeight="1">
      <x:c r="A147" s="12" t="str">
        <x:v>E31</x:v>
      </x:c>
      <x:c r="B147" s="18" t="n">
        <x:v>257</x:v>
      </x:c>
      <x:c r="C147" s="12" t="str">
        <x:v>late. It is a draft of a municipal ordinance, The
 Community Commons Act, modeled directly on the historic se</x:v>
      </x:c>
      <x:c r="D147" s="12" t="str">
        <x:v>C43</x:v>
      </x:c>
    </x:row>
    <x:row r="148" ht="37.5" customHeight="1">
      <x:c r="A148" s="12" t="str">
        <x:v>E31</x:v>
      </x:c>
      <x:c r="B148" s="18" t="n">
        <x:v>244</x:v>
      </x:c>
      <x:c r="C148" s="12" t="str">
        <x:v>numbers, the trust’s first ground-lease payment made in full to Irene Calder, the library’s
 download co</x:v>
      </x:c>
      <x:c r="D148" s="12" t="str">
        <x:v>C43</x:v>
      </x:c>
    </x:row>
    <x:row r="149" ht="37.5" customHeight="1">
      <x:c r="A149" s="12" t="str">
        <x:v>E32</x:v>
      </x:c>
      <x:c r="B149" s="18" t="n">
        <x:v>76</x:v>
      </x:c>
      <x:c r="C149" s="12" t="str">
        <x:v>dIn.
 Elijah quit on a Tuesday, eleven months after the toast, and the resignation meeting took four
 minutes</x:v>
      </x:c>
      <x:c r="D149" s="12" t="str">
        <x:v>C46 C47 C48</x:v>
      </x:c>
    </x:row>
    <x:row r="150" ht="37.5" customHeight="1">
      <x:c r="A150" s="12" t="str">
        <x:v>E32</x:v>
      </x:c>
      <x:c r="B150" s="18" t="n">
        <x:v>245</x:v>
      </x:c>
      <x:c r="C150" s="12" t="str">
        <x:v>e way Elijah had once stood in it, two years and a lifetime ago, looking at the plasma
 table and the shadow-boarded wall an</x:v>
      </x:c>
      <x:c r="D150" s="12" t="str">
        <x:v>C46 C47 C48</x:v>
      </x:c>
    </x:row>
    <x:row r="151" ht="37.5" customHeight="1">
      <x:c r="A151" s="12" t="str">
        <x:v>E32</x:v>
      </x:c>
      <x:c r="B151" s="18" t="n">
        <x:v>252</x:v>
      </x:c>
      <x:c r="C151" s="12" t="str">
        <x:v>outh on a Thursday in late winter, two years and some weeks after the toast, and the
 drive was the same drive from Chapter</x:v>
      </x:c>
      <x:c r="D151" s="12" t="str">
        <x:v>C46 C47 C48</x:v>
      </x:c>
    </x:row>
    <x:row r="152" ht="37.5" customHeight="1">
      <x:c r="A152" s="12" t="str">
        <x:v>E32</x:v>
      </x:c>
      <x:c r="B152" s="18" t="n">
        <x:v>83</x:v>
      </x:c>
      <x:c r="C152" s="12" t="str">
        <x:v>the crowd,
 and it was at Elijah’s third of these dinners, five weeks into his apprenticeship with the broom, that
 he lea</x:v>
      </x:c>
      <x:c r="D152" s="12" t="str">
        <x:v>C46 C47 C48</x:v>
      </x:c>
    </x:row>
    <x:row r="153" ht="37.5" customHeight="1">
      <x:c r="A153" s="12" t="str">
        <x:v>E32</x:v>
      </x:c>
      <x:c r="B153" s="18" t="n">
        <x:v>252</x:v>
      </x:c>
      <x:c r="C153" s="12" t="str">
        <x:v>h you.
 His mother called at 9:40 Sunday, three days before, right on schedule, the radio and the sink
 running behin</x:v>
      </x:c>
      <x:c r="D153" s="12" t="str">
        <x:v>C46 C47 C48</x:v>
      </x:c>
    </x:row>
    <x:row r="154" ht="37.5" customHeight="1">
      <x:c r="A154" s="12" t="str">
        <x:v>E32</x:v>
      </x:c>
      <x:c r="B154" s="18" t="n">
        <x:v>15</x:v>
      </x:c>
      <x:c r="C154" s="12" t="str">
        <x:v>rking yet, and by the back half of 2020 he could write a Python pipeline that
 did something real. Somew</x:v>
      </x:c>
      <x:c r="D154" s="12" t="str">
        <x:v>C46 C47 C48</x:v>
      </x:c>
    </x:row>
    <x:row r="155" ht="37.5" customHeight="1">
      <x:c r="A155" s="12" t="str">
        <x:v>E32</x:v>
      </x:c>
      <x:c r="B155" s="18" t="n">
        <x:v>17</x:v>
      </x:c>
      <x:c r="C155" s="12" t="str">
        <x:v>hing that wasn’t dirt or a guitar; two years of self-taught data science had given him exactly
 enough to kno</x:v>
      </x:c>
      <x:c r="D155" s="12" t="str">
        <x:v>C46 C47 C48</x:v>
      </x:c>
    </x:row>
    <x:row r="156" ht="37.5" customHeight="1">
      <x:c r="A156" s="12" t="str">
        <x:v>E32</x:v>
      </x:c>
      <x:c r="B156" s="18" t="n">
        <x:v>76</x:v>
      </x:c>
      <x:c r="C156" s="12" t="str">
        <x:v>h a small red
 light, and that was eight years of the new economy: on-boarded by a person, off-boarded by a lig</x:v>
      </x:c>
      <x:c r="D156" s="12" t="str">
        <x:v>C46 C47 C48</x:v>
      </x:c>
    </x:row>
    <x:row r="157" ht="37.5" customHeight="1">
      <x:c r="A157" s="12" t="str">
        <x:v>E32</x:v>
      </x:c>
      <x:c r="B157" s="18" t="n">
        <x:v>83</x:v>
      </x:c>
      <x:c r="C157" s="12" t="str">
        <x:v>p two fingers. “Twice. First time, 2019. I’d been eleven
 years in the warehouse, and the arms came in,</x:v>
      </x:c>
      <x:c r="D157" s="12" t="str">
        <x:v>C46 C47 C48</x:v>
      </x:c>
    </x:row>
    <x:row r="158" ht="37.5" customHeight="1">
      <x:c r="A158" s="12" t="str">
        <x:v>E32</x:v>
      </x:c>
      <x:c r="B158" s="18" t="n">
        <x:v>140</x:v>
      </x:c>
      <x:c r="C158" s="12" t="str">
        <x:v>way in Reuben’s careful language. Twelve years after a spreadsheet
 deleted him from a warehouse, Denny o</x:v>
      </x:c>
      <x:c r="D158" s="12" t="str">
        <x:v>C46 C47 C48</x:v>
      </x:c>
    </x:row>
    <x:row r="159" ht="37.5" customHeight="1">
      <x:c r="A159" s="12" t="str">
        <x:v>E32</x:v>
      </x:c>
      <x:c r="B159" s="18" t="n">
        <x:v>179</x:v>
      </x:c>
      <x:c r="C159" s="12" t="str">
        <x:v>dden north in the back of
 his car two years ago, eighty pounds of plate steel and one cracked firebrick, and</x:v>
      </x:c>
      <x:c r="D159" s="12" t="str">
        <x:v>C46 C47 C48</x:v>
      </x:c>
    </x:row>
    <x:row r="160" ht="37.5" customHeight="1">
      <x:c r="A160" s="12" t="str">
        <x:v>E32</x:v>
      </x:c>
      <x:c r="B160" s="18" t="n">
        <x:v>219</x:v>
      </x:c>
      <x:c r="C160" s="12" t="str">
        <x:v>eding all of it, person to person, three years of the
 co-op’s actual life moving through the world’s feeds lik</x:v>
      </x:c>
      <x:c r="D160" s="12" t="str">
        <x:v>C46 C47 C48</x:v>
      </x:c>
    </x:row>
    <x:row r="161" ht="37.5" customHeight="1">
      <x:c r="A161" s="12" t="str">
        <x:v>E32</x:v>
      </x:c>
      <x:c r="B161" s="18" t="n">
        <x:v>245</x:v>
      </x:c>
      <x:c r="C161" s="12" t="str">
        <x:v>be repossessed. “Apprenticeship’s four years
 if you’re serious. So we start Monday.”
 Elijah went home that</x:v>
      </x:c>
      <x:c r="D161" s="12" t="str">
        <x:v>C46 C47 C48</x:v>
      </x:c>
    </x:row>
    <x:row r="162" ht="37.5" customHeight="1">
      <x:c r="A162" s="12" t="str">
        <x:v>E33</x:v>
      </x:c>
      <x:c r="B162" s="18" t="n">
        <x:v>147</x:v>
      </x:c>
      <x:c r="C162" s="12" t="str">
        <x:v>Using the Tech to Your Advantage</x:v>
      </x:c>
      <x:c r="D162" s="12" t="str">
        <x:v>C49</x:v>
      </x:c>
    </x:row>
    <x:row r="163" ht="37.5" customHeight="1">
      <x:c r="A163" s="12" t="str">
        <x:v>E33</x:v>
      </x:c>
      <x:c r="B163" s="18" t="n">
        <x:v>2</x:v>
      </x:c>
      <x:c r="C163" s="12" t="str">
        <x:v>Using the Tech to Your Advantage</x:v>
      </x:c>
      <x:c r="D163" s="12" t="str">
        <x:v>C49</x:v>
      </x:c>
    </x:row>
    <x:row r="164" ht="37.5" customHeight="1">
      <x:c r="A164" s="12" t="str">
        <x:v>E33</x:v>
      </x:c>
      <x:c r="B164" s="18" t="n">
        <x:v>149</x:v>
      </x:c>
      <x:c r="C164" s="12" t="str">
        <x:v>Using the Tech to Your Advantage</x:v>
      </x:c>
      <x:c r="D164" s="12" t="str">
        <x:v>C49</x:v>
      </x:c>
    </x:row>
    <x:row r="165" ht="37.5" customHeight="1">
      <x:c r="A165" s="12" t="str">
        <x:v>E34</x:v>
      </x:c>
      <x:c r="B165" s="18" t="n">
        <x:v>161</x:v>
      </x:c>
      <x:c r="C165" s="12" t="str">
        <x:v>power DC bus bar we built in Chapter 6. Do not run it through an inverter. Use a high-
           effic</x:v>
      </x:c>
      <x:c r="D165" s="12" t="str">
        <x:v>C50</x:v>
      </x:c>
    </x:row>
    <x:row r="166" ht="37.5" customHeight="1">
      <x:c r="A166" s="12" t="str">
        <x:v>E34</x:v>
      </x:c>
      <x:c r="B166" s="18" t="n">
        <x:v>168</x:v>
      </x:c>
      <x:c r="C166" s="12" t="str">
        <x:v>the spray-foam methods detailed in Chapter 5). Because it shares a structural
           envelope with the sh</x:v>
      </x:c>
      <x:c r="D166" s="12" t="str">
        <x:v>C50</x:v>
      </x:c>
    </x:row>
    <x:row r="167" ht="37.5" customHeight="1">
      <x:c r="A167" s="12" t="str">
        <x:v>E34</x:v>
      </x:c>
      <x:c r="B167" s="18" t="n">
        <x:v>171</x:v>
      </x:c>
      <x:c r="C167" s="12" t="str">
        <x:v>ent the No-Notifications Protocol (Chapter 3). Strip all attention-harvesting
           vectors from your pe</x:v>
      </x:c>
      <x:c r="D167" s="12" t="str">
        <x:v>C50</x:v>
      </x:c>
    </x:row>
    <x:row r="168" ht="37.5" customHeight="1">
      <x:c r="A168" s="12" t="str">
        <x:v>E34</x:v>
      </x:c>
      <x:c r="B168" s="18" t="n">
        <x:v>172</x:v>
      </x:c>
      <x:c r="C168" s="12" t="str">
        <x:v>ild your first LoRa Mesh Terminal (Chapter 10). Flash it with Meshtastic, configure a
           private symme</x:v>
      </x:c>
      <x:c r="D168" s="12" t="str">
        <x:v>C50</x:v>
      </x:c>
    </x:row>
    <x:row r="169" ht="37.5" customHeight="1">
      <x:c r="A169" s="12" t="str">
        <x:v>E34</x:v>
      </x:c>
      <x:c r="B169" s="18" t="n">
        <x:v>215</x:v>
      </x:c>
      <x:c r="C169" s="12" t="str">
        <x:v>local grocery stores (using your Chapter 2 Redirection Protocol) and turn it into a biological
           i</x:v>
      </x:c>
      <x:c r="D169" s="12" t="str">
        <x:v>C50</x:v>
      </x:c>
    </x:row>
    <x:row r="170" ht="37.5" customHeight="1">
      <x:c r="A170" s="12" t="str">
        <x:v>E34</x:v>
      </x:c>
      <x:c r="B170" s="18" t="n">
        <x:v>232</x:v>
      </x:c>
      <x:c r="C170" s="12" t="str">
        <x:v>s System: DIY LoRa Mesh Nodes
 In Chapter 2, we discussed the theory of the Decentralized Municipal Mesh Net</x:v>
      </x:c>
      <x:c r="D170" s="12" t="str">
        <x:v>C50</x:v>
      </x:c>
    </x:row>
    <x:row r="171" ht="37.5" customHeight="1">
      <x:c r="A171" s="12" t="str">
        <x:v>E35</x:v>
      </x:c>
      <x:c r="B171" s="18" t="n">
        <x:v>81</x:v>
      </x:c>
      <x:c r="C171" s="12" t="str">
        <x:v>ogists describe the
 transition to agriculture with a standard phrase, a decline in health and stature. The fir</x:v>
      </x:c>
      <x:c r="D171" s="12" t="str">
        <x:v>C13</x:v>
      </x:c>
    </x:row>
    <x:row r="172" ht="37.5" customHeight="1">
      <x:c r="A172" s="12" t="str">
        <x:v>E35</x:v>
      </x:c>
      <x:c r="B172" s="18" t="n">
        <x:v>89</x:v>
      </x:c>
      <x:c r="C172" s="12" t="str">
        <x:v>Napster shut down.</x:v>
      </x:c>
      <x:c r="D172" s="12" t="str">
        <x:v>C13</x:v>
      </x:c>
    </x:row>
    <x:row r="173" ht="37.5" customHeight="1">
      <x:c r="A173" s="12" t="str">
        <x:v>E35</x:v>
      </x:c>
      <x:c r="B173" s="18" t="n">
        <x:v>281</x:v>
      </x:c>
      <x:c r="C173" s="12" t="str">
        <x:v>frame-breaker’s hammer is batting zero for two hundred years. Fight for terms,
           not against p</x:v>
      </x:c>
      <x:c r="D173" s="12" t="str">
        <x:v>C13</x:v>
      </x:c>
    </x:row>
    <x:row r="174" ht="37.5" customHeight="1">
      <x:c r="A174" s="12" t="str">
        <x:v>E35</x:v>
      </x:c>
      <x:c r="B174" s="18" t="n">
        <x:v>13</x:v>
      </x:c>
      <x:c r="C174" s="12" t="str">
        <x:v>The panic was never about the books</x:v>
      </x:c>
      <x:c r="D174" s="12" t="str">
        <x:v>C13</x:v>
      </x:c>
    </x:row>
    <x:row r="175" ht="37.5" customHeight="1">
      <x:c r="A175" s="12" t="str">
        <x:v>E35</x:v>
      </x:c>
      <x:c r="B175" s="18" t="n">
        <x:v>256</x:v>
      </x:c>
      <x:c r="C175" s="12" t="str">
        <x:v>always the worst it will ever be</x:v>
      </x:c>
      <x:c r="D175" s="12" t="str">
        <x:v>C13</x:v>
      </x:c>
    </x:row>
    <x:row r="176" ht="37.5" customHeight="1">
      <x:c r="A176" s="12" t="str">
        <x:v>E36</x:v>
      </x:c>
      <x:c r="B176" s="18" t="n">
        <x:v>95</x:v>
      </x:c>
      <x:c r="C176" s="12" t="str">
        <x:v>. The 1948
 settlement created the Music Performance Trust Fund, financed by a per-record payment from the
 labels, to pay union</x:v>
      </x:c>
      <x:c r="D176" s="12" t="str">
        <x:v>Latest author direction / direct review</x:v>
      </x:c>
    </x:row>
    <x:row r="177" ht="37.5" customHeight="1">
      <x:c r="A177" s="12" t="str">
        <x:v>E36</x:v>
      </x:c>
      <x:c r="B177" s="18" t="n">
        <x:v>174</x:v>
      </x:c>
      <x:c r="C177" s="12" t="str">
        <x:v>it so.
 Go forth and build.
 Precedent P-15: One Hundred Sixty Acres (United States, 1862)
 The Homestead A</x:v>
      </x:c>
      <x:c r="D177" s="12" t="str">
        <x:v>Latest author direction / direct review</x:v>
      </x:c>
    </x:row>
    <x:row r="178" ht="37.5" customHeight="1">
      <x:c r="A178" s="12" t="str">
        <x:v>E36</x:v>
      </x:c>
      <x:c r="B178" s="18" t="n">
        <x:v>190</x:v>
      </x:c>
      <x:c r="C178" s="12" t="str">
        <x:v>y: let’s look at it up close.
 Precedent P-16: The House That Came by Mail (Chicago, 1908 to 1942)
 For thirt</x:v>
      </x:c>
      <x:c r="D178" s="12" t="str">
        <x:v>Latest author direction / direct review</x:v>
      </x:c>
    </x:row>
    <x:row r="179" ht="37.5" customHeight="1">
      <x:c r="A179" s="12" t="str">
        <x:v>E36</x:v>
      </x:c>
      <x:c r="B179" s="18" t="n">
        <x:v>204</x:v>
      </x:c>
      <x:c r="C179" s="12" t="str">
        <x:v>Precedent P-17: The Graveyard of the Unconvinced (1975 to 2011)
 Four headston</x:v>
      </x:c>
      <x:c r="D179" s="12" t="str">
        <x:v>Latest author direction / direct review</x:v>
      </x:c>
    </x:row>
    <x:row r="180" ht="37.5" customHeight="1">
      <x:c r="A180" s="12" t="str">
        <x:v>E37</x:v>
      </x:c>
      <x:c r="B180" s="18" t="n">
        <x:v>8</x:v>
      </x:c>
      <x:c r="C180" s="12" t="str">
        <x:v>It’s called the Precedent Ledger: twenty-two documented
 episodes of human beings standing exactly where</x:v>
      </x:c>
      <x:c r="D180" s="12" t="str">
        <x:v>C51</x:v>
      </x:c>
    </x:row>
    <x:row r="181" ht="37.5" customHeight="1">
      <x:c r="A181" s="12" t="str">
        <x:v>E37</x:v>
      </x:c>
      <x:c r="B181" s="18" t="n">
        <x:v>256</x:v>
      </x:c>
      <x:c r="C181" s="12" t="str">
        <x:v>rate complaints. You have now read twenty-two entries
 in the Precedent Ledger, from the grain fields of the F</x:v>
      </x:c>
      <x:c r="D181" s="12" t="str">
        <x:v>C51</x:v>
      </x:c>
    </x:row>
    <x:row r="182" ht="37.5" customHeight="1">
      <x:c r="A182" s="12" t="str">
        <x:v>E37</x:v>
      </x:c>
      <x:c r="B182" s="18" t="n">
        <x:v>283</x:v>
      </x:c>
      <x:c r="C182" s="12" t="str">
        <x:v>contact with a primary source. The last one is worth
 naming specifically, because it is the single most-cit</x:v>
      </x:c>
      <x:c r="D182" s="12" t="str">
        <x:v>C51</x:v>
      </x:c>
    </x:row>
    <x:row r="183" ht="37.5" customHeight="1">
      <x:c r="A183" s="12" t="str">
        <x:v>E38</x:v>
      </x:c>
      <x:c r="B183" s="18" t="n">
        <x:v>262</x:v>
      </x:c>
      <x:c r="C183" s="12" t="str">
        <x:v>APPENDIX B: WORKS CITED (RESEARCH &amp;
 EVIDENCE SYNTHESIS)
        1. Strategic Preemptio</x:v>
      </x:c>
      <x:c r="D183" s="12" t="str">
        <x:v>Latest author direction / direct review</x:v>
      </x:c>
    </x:row>
    <x:row r="184" ht="37.5" customHeight="1">
      <x:c r="A184" s="12" t="str">
        <x:v>E38</x:v>
      </x:c>
      <x:c r="B184" s="18" t="n">
        <x:v>283</x:v>
      </x:c>
      <x:c r="C184" s="12" t="str">
        <x:v>ipts live in the project’s history casebook
 alongside Appendix B’s works cited. A note on standards: severa</x:v>
      </x:c>
      <x:c r="D184" s="12" t="str">
        <x:v>Latest author direction / direct review</x:v>
      </x:c>
    </x:row>
    <x:row r="185" ht="37.5" customHeight="1">
      <x:c r="A185" s="12" t="str">
        <x:v>E39</x:v>
      </x:c>
      <x:c r="B185" s="18" t="n">
        <x:v>38</x:v>
      </x:c>
      <x:c r="C185" s="12" t="str">
        <x:v>a coin slot.
         • Stage 2 is the Panic: when the powerful realize they cannot corner a zero-cost resour</x:v>
      </x:c>
      <x:c r="D185" s="12" t="str">
        <x:v>Latest author direction / direct review</x:v>
      </x:c>
    </x:row>
    <x:row r="186" ht="37.5" customHeight="1">
      <x:c r="A186" s="12" t="str">
        <x:v>E39</x:v>
      </x:c>
      <x:c r="B186" s="18" t="n">
        <x:v>243</x:v>
      </x:c>
      <x:c r="C186" s="12" t="str">
        <x:v>Chapter 18: The Roadmap and the Premortem
 Pivot
                                       Topographic ma</x:v>
      </x:c>
      <x:c r="D186" s="12" t="str">
        <x:v>Latest author direction / direct review</x:v>
      </x:c>
    </x:row>
    <x:row r="187" ht="37.5" customHeight="1">
      <x:c r="A187" s="12" t="str">
        <x:v>E40</x:v>
      </x:c>
      <x:c r="B187" s="18" t="n">
        <x:v>245</x:v>
      </x:c>
      <x:c r="C187" s="12" t="str">
        <x:v>Founder-dependence, said Frank, who had watched a store die of it. Every load-beari</x:v>
      </x:c>
      <x:c r="D187" s="12" t="str">
        <x:v>Latest author direction / direct review</x:v>
      </x:c>
    </x:row>
    <x:row r="188" ht="37.5" customHeight="1">
      <x:c r="A188" s="12" t="str">
        <x:v>E40</x:v>
      </x:c>
      <x:c r="B188" s="18" t="n">
        <x:v>248</x:v>
      </x:c>
      <x:c r="C188" s="12" t="str">
        <x:v>If the answer is no, you are failing.</x:v>
      </x:c>
      <x:c r="D188" s="12" t="str">
        <x:v>Latest author direction / direct review</x:v>
      </x:c>
    </x:row>
    <x:row r="189" ht="37.5" customHeight="1">
      <x:c r="A189" s="12" t="str">
        <x:v>E41</x:v>
      </x:c>
      <x:c r="B189" s="18" t="n">
        <x:v>6</x:v>
      </x:c>
      <x:c r="C189" s="12" t="str">
        <x:v>why can’t it grow your food and build your house?</x:v>
      </x:c>
      <x:c r="D189" s="12" t="str">
        <x:v>Latest author direction / direct review</x:v>
      </x:c>
    </x:row>
    <x:row r="190" ht="37.5" customHeight="1">
      <x:c r="A190" s="12" t="str">
        <x:v>E41</x:v>
      </x:c>
      <x:c r="B190" s="18" t="n">
        <x:v>34</x:v>
      </x:c>
      <x:c r="C190" s="12" t="str">
        <x:v>s.
 Timeline Compression and the 2027 Ignition Point
 The convergence of these architectural and biol</x:v>
      </x:c>
      <x:c r="D190" s="12" t="str">
        <x:v>Latest author direction / direct review</x:v>
      </x:c>
    </x:row>
    <x:row r="191" ht="37.5" customHeight="1">
      <x:c r="A191" s="12" t="str">
        <x:v>E42</x:v>
      </x:c>
      <x:c r="B191" s="18" t="n">
        <x:v>169</x:v>
      </x:c>
      <x:c r="C191" s="12" t="str">
        <x:v>ive means nobody is cut off
   The Semi-Autonomous CSA Network: Shouse Node A with its AI server and automated greenhou</x:v>
      </x:c>
      <x:c r="D191" s="12" t="str">
        <x:v>Latest author direction / direct review</x:v>
      </x:c>
    </x:row>
    <x:row r="192" ht="37.5" customHeight="1">
      <x:c r="A192" s="12" t="str">
        <x:v>E42</x:v>
      </x:c>
      <x:c r="B192" s="18" t="n">
        <x:v>262</x:v>
      </x:c>
      <x:c r="C192" s="12" t="str">
        <x:v>APPENDIX B: WORKS CITED (RESEARCH &amp;
 EVIDENCE SYNTHESIS)
        1. Strategic Preemptio</x:v>
      </x:c>
      <x:c r="D192" s="12" t="str">
        <x:v>Latest author direction / direct review</x:v>
      </x:c>
    </x:row>
    <x:row r="193" ht="37.5" customHeight="1">
      <x:c r="A193" s="12" t="str">
        <x:v>E43</x:v>
      </x:c>
      <x:c r="B193" s="18" t="n">
        <x:v>149</x:v>
      </x:c>
      <x:c r="C193" s="12" t="str">
        <x:v>Using the Tech to Your Advantage</x:v>
      </x:c>
      <x:c r="D193" s="12" t="str">
        <x:v>Latest author direction / direct review</x:v>
      </x:c>
    </x:row>
    <x:row r="194" ht="37.5" customHeight="1">
      <x:c r="A194" s="12" t="str">
        <x:v>E43</x:v>
      </x:c>
      <x:c r="B194" s="18" t="n">
        <x:v>159</x:v>
      </x:c>
      <x:c r="C194" s="12" t="str">
        <x:v>70b if VRAM allows
 def get_system_telemetry():
        """
        Simulates fetching hardware parameters fr</x:v>
      </x:c>
      <x:c r="D194" s="12" t="str">
        <x:v>Latest author direction / direct review</x:v>
      </x:c>
    </x:row>
    <x:row r="195" ht="37.5" customHeight="1">
      <x:c r="A195" s="12" t="str">
        <x:v>E44</x:v>
      </x:c>
      <x:c r="B195" s="18" t="n">
        <x:v>198</x:v>
      </x:c>
      <x:c r="C195" s="12" t="str">
        <x:v>how a just-in-time buffer collapses in four days
                 DAY 1                PORT DIS</x:v>
      </x:c>
      <x:c r="D195" s="12" t="str">
        <x:v>C52</x:v>
      </x:c>
    </x:row>
    <x:row r="196" ht="37.5" customHeight="1">
      <x:c r="A196" s="12" t="str">
        <x:v>E44</x:v>
      </x:c>
      <x:c r="B196" s="18" t="n">
        <x:v>231</x:v>
      </x:c>
      <x:c r="C196" s="12" t="str">
        <x:v>igh-tech dependency.
 In the late twenty-first century, your refrigerator has more processing power than the Ap</x:v>
      </x:c>
      <x:c r="D196" s="12" t="str">
        <x:v>C52</x:v>
      </x:c>
    </x:row>
    <x:row r="197" ht="37.5" customHeight="1">
      <x:c r="A197" s="12" t="str">
        <x:v>E44</x:v>
      </x:c>
      <x:c r="B197" s="18" t="n">
        <x:v>246</x:v>
      </x:c>
      <x:c r="C197" s="12" t="str">
        <x:v>It is scaling up right now.
 The Five Black Swans
 Will it happen tomorrow? Maybe. Is it guaranteed?</x:v>
      </x:c>
      <x:c r="D197" s="12" t="str">
        <x:v>C52</x:v>
      </x:c>
    </x:row>
    <x:row r="198" ht="37.5" customHeight="1">
      <x:c r="A198" s="12" t="str">
        <x:v>E45</x:v>
      </x:c>
      <x:c r="B198" s="18" t="n">
        <x:v>7</x:v>
      </x:c>
      <x:c r="C198" s="12" t="str">
        <x:v>This is the roadmap. These are the nine stages. And we are already well into the firs</x:v>
      </x:c>
      <x:c r="D198" s="12" t="str">
        <x:v>Latest author direction / direct review</x:v>
      </x:c>
    </x:row>
    <x:row r="199" ht="37.5" customHeight="1">
      <x:c r="A199" s="12" t="str">
        <x:v>E45</x:v>
      </x:c>
      <x:c r="B199" s="18" t="n">
        <x:v>137</x:v>
      </x:c>
      <x:c r="C199" s="12" t="str">
        <x:v>Part III: How to Survive the Transition
    Pixel art: a container shouse with a lit</x:v>
      </x:c>
      <x:c r="D199" s="12" t="str">
        <x:v>Latest author direction / direct review</x:v>
      </x:c>
    </x:row>
    <x:row r="200" ht="18" customHeight="1">
      <x:c r="A200" s="2"/>
      <x:c r="B200" s="2"/>
      <x:c r="C200" s="2"/>
      <x:c r="D200" s="2"/>
    </x:row>
    <x:row r="201" ht="18" customHeight="1">
      <x:c r="A201" s="2"/>
      <x:c r="B201" s="2"/>
      <x:c r="C201" s="2"/>
      <x:c r="D201" s="2"/>
    </x:row>
    <x:row r="202" ht="18" customHeight="1">
      <x:c r="A202" s="19" t="str">
        <x:v>Research sources and their limits</x:v>
      </x:c>
      <x:c r="B202" s="2"/>
      <x:c r="C202" s="2"/>
      <x:c r="D202" s="2"/>
    </x:row>
    <x:row r="203" ht="18" customHeight="1">
      <x:c r="A203" s="2"/>
      <x:c r="B203" s="2"/>
      <x:c r="C203" s="2"/>
      <x:c r="D203" s="2"/>
    </x:row>
    <x:row r="204" ht="31.5" customHeight="1">
      <x:c r="A204" s="9" t="str">
        <x:v>Source ID</x:v>
      </x:c>
      <x:c r="B204" s="10" t="str">
        <x:v>Checked</x:v>
      </x:c>
      <x:c r="C204" s="10" t="str">
        <x:v>Title and source URL</x:v>
      </x:c>
      <x:c r="D204" s="11" t="str">
        <x:v>Scope supported</x:v>
      </x:c>
    </x:row>
    <x:row r="205" ht="63.75" customHeight="1">
      <x:c r="A205" s="12" t="str">
        <x:v>S01</x:v>
      </x:c>
      <x:c r="B205" s="21" t="n">
        <x:v>46286</x:v>
      </x:c>
      <x:c r="C205" s="12" t="str">
        <x:v>Attention Is All You Need
https://arxiv.org/abs/1706.03762</x:v>
      </x:c>
      <x:c r="D205" s="12" t="str">
        <x:v>Transformer architecture research; does not establish autonomous recursive improvement.</x:v>
      </x:c>
    </x:row>
    <x:row r="206" ht="63.75" customHeight="1">
      <x:c r="A206" s="12" t="str">
        <x:v>S02</x:v>
      </x:c>
      <x:c r="B206" s="21" t="n">
        <x:v>46286</x:v>
      </x:c>
      <x:c r="C206" s="12" t="str">
        <x:v>Thousands of AI Authors on the Future of AI
https://arxiv.org/abs/2401.02843</x:v>
      </x:c>
      <x:c r="D206" s="12" t="str">
        <x:v>Survey distinguishes all-task performance from automating occupations. Its aggregate dates are not a consensus forecast of unassisted RSI in 2027.</x:v>
      </x:c>
    </x:row>
    <x:row r="207" ht="63.75" customHeight="1">
      <x:c r="A207" s="12" t="str">
        <x:v>S03</x:v>
      </x:c>
      <x:c r="B207" s="21" t="n">
        <x:v>46286</x:v>
      </x:c>
      <x:c r="C207" s="12" t="str">
        <x:v>Comparing Learning Capabilities of Biological and Artificial Neural Networks
https://arxiv.org/abs/2405.16946</x:v>
      </x:c>
      <x:c r="D207" s="12" t="str">
        <x:v>Simplified Pong comparison with specified reinforcement-learning algorithms and matched training conditions. Not a general intelligence or whole-system energy comparison.</x:v>
      </x:c>
    </x:row>
    <x:row r="208" ht="63.75" customHeight="1">
      <x:c r="A208" s="12" t="str">
        <x:v>S04</x:v>
      </x:c>
      <x:c r="B208" s="21" t="n">
        <x:v>46286</x:v>
      </x:c>
      <x:c r="C208" s="12" t="str">
        <x:v>Bostrom: Are You Living in a Computer Simulation?
https://simulation-argument.com/simulation/</x:v>
      </x:c>
      <x:c r="D208" s="12" t="str">
        <x:v>A conditional argument with alternative propositions, not observational proof that this universe is simulated.</x:v>
      </x:c>
    </x:row>
    <x:row r="209" ht="63.75" customHeight="1">
      <x:c r="A209" s="12" t="str">
        <x:v>S05</x:v>
      </x:c>
      <x:c r="B209" s="21" t="n">
        <x:v>46286</x:v>
      </x:c>
      <x:c r="C209" s="12" t="str">
        <x:v>Kipping: A Bayesian Approach to the Simulation Argument
https://arxiv.org/abs/2008.12254</x:v>
      </x:c>
      <x:c r="D209" s="12" t="str">
        <x:v>A probability analysis dependent on its model assumptions, not a physical demonstration of a multiverse.</x:v>
      </x:c>
    </x:row>
    <x:row r="210" ht="63.75" customHeight="1">
      <x:c r="A210" s="12" t="str">
        <x:v>S06</x:v>
      </x:c>
      <x:c r="B210" s="21" t="n">
        <x:v>46286</x:v>
      </x:c>
      <x:c r="C210" s="12" t="str">
        <x:v>AI models collapse when trained on recursively generated data
https://www.nature.com/articles/s41586-024-07566-y</x:v>
      </x:c>
      <x:c r="D210" s="12" t="str">
        <x:v>Establishes a degradation mechanism under studied training conditions; does not prove all synthetic training inevitably destroys models.</x:v>
      </x:c>
    </x:row>
    <x:row r="211" ht="63.75" customHeight="1">
      <x:c r="A211" s="12" t="str">
        <x:v>S07</x:v>
      </x:c>
      <x:c r="B211" s="21" t="n">
        <x:v>46286</x:v>
      </x:c>
      <x:c r="C211" s="12" t="str">
        <x:v>Is Model Collapse Inevitable? Breaking the Curse of Recursion by Accumulating Real and Synthetic Data
https://arxiv.org/abs/2404.01413</x:v>
      </x:c>
      <x:c r="D211" s="12" t="str">
        <x:v>Experiments retaining original data and accumulating synthetic data provide a counterexample to an unrestricted inevitability claim.</x:v>
      </x:c>
    </x:row>
    <x:row r="212" ht="63.75" customHeight="1">
      <x:c r="A212" s="12" t="str">
        <x:v>S08</x:v>
      </x:c>
      <x:c r="B212" s="21" t="n">
        <x:v>46286</x:v>
      </x:c>
      <x:c r="C212" s="12" t="str">
        <x:v>llama.cpp official repository
https://github.com/ggml-org/llama.cpp</x:v>
      </x:c>
      <x:c r="D212" s="12" t="str">
        <x:v>Documents CPU inference and CPU/GPU hybrid inference.</x:v>
      </x:c>
    </x:row>
    <x:row r="213" ht="63.75" customHeight="1">
      <x:c r="A213" s="12" t="str">
        <x:v>S09</x:v>
      </x:c>
      <x:c r="B213" s="21" t="n">
        <x:v>46286</x:v>
      </x:c>
      <x:c r="C213" s="12" t="str">
        <x:v>Docker: Port publishing and mapping
https://docs.docker.com/engine/network/port-publishing/</x:v>
      </x:c>
      <x:c r="D213" s="12" t="str">
        <x:v>Without a specified host address, published ports bind to all host addresses by default. Actual Internet reachability also depends on network configuration.</x:v>
      </x:c>
    </x:row>
    <x:row r="214" ht="63.75" customHeight="1">
      <x:c r="A214" s="12" t="str">
        <x:v>S10</x:v>
      </x:c>
      <x:c r="B214" s="21" t="n">
        <x:v>46286</x:v>
      </x:c>
      <x:c r="C214" s="12" t="str">
        <x:v>Meshtastic overview
https://meshtastic.org/docs/overview/</x:v>
      </x:c>
      <x:c r="D214" s="12" t="str">
        <x:v>Describes small packets, text, telemetry and mesh configuration. Does not substantiate general broadband or ordinary voice service.</x:v>
      </x:c>
    </x:row>
    <x:row r="215" ht="63.75" customHeight="1">
      <x:c r="A215" s="12" t="str">
        <x:v>S11</x:v>
      </x:c>
      <x:c r="B215" s="21" t="n">
        <x:v>46286</x:v>
      </x:c>
      <x:c r="C215" s="12" t="str">
        <x:v>Meshtastic LoRa configuration
https://meshtastic.org/docs/configuration/radio/lora/</x:v>
      </x:c>
      <x:c r="D215" s="12" t="str">
        <x:v>Radio region is a configuration setting; implementation instructions must match hardware and local rules.</x:v>
      </x:c>
    </x:row>
    <x:row r="216" ht="63.75" customHeight="1">
      <x:c r="A216" s="12" t="str">
        <x:v>S12</x:v>
      </x:c>
      <x:c r="B216" s="21" t="n">
        <x:v>46286</x:v>
      </x:c>
      <x:c r="C216" s="12" t="str">
        <x:v>IPFS: Pin files
https://docs.ipfs.tech/how-to/pin-files/</x:v>
      </x:c>
      <x:c r="D216" s="12" t="str">
        <x:v>Persistence requires retention arrangements such as pinning; content addressing alone does not guarantee hundreds of permanent copies.</x:v>
      </x:c>
    </x:row>
    <x:row r="217" ht="73.5" customHeight="1">
      <x:c r="A217" s="12" t="str">
        <x:v>S13</x:v>
      </x:c>
      <x:c r="B217" s="21" t="n">
        <x:v>46286</x:v>
      </x:c>
      <x:c r="C217" s="12" t="str">
        <x:v>USDA ARS: Factors affecting compost tea as a potential source of E. coli and Salmonella on fresh produce
https://www.ars.usda.gov/research/publications/publication/?seqNo115=190709</x:v>
      </x:c>
      <x:c r="D217" s="12" t="str">
        <x:v>Nutrient supplements supported pathogen growth in aerated and non-aerated compost tea. Aeration was not a pathogen-control guarantee. Publication metadata on this USDA page uses 2006; the journal volume 70(4), 828–834 is indexed in 2007. Resolve bibliography against the journal DOI 10.4315/0362-028X-70.4.828.</x:v>
      </x:c>
    </x:row>
    <x:row r="218" ht="63.75" customHeight="1">
      <x:c r="A218" s="12" t="str">
        <x:v>S14</x:v>
      </x:c>
      <x:c r="B218" s="21" t="n">
        <x:v>46286</x:v>
      </x:c>
      <x:c r="C218" s="12" t="str">
        <x:v>EPA: Chloramines in drinking water
https://www.epa.gov/dwreginfo/chloramines-drinking-water</x:v>
      </x:c>
      <x:c r="D218" s="12" t="str">
        <x:v>Municipal disinfectants include longer-lasting chloramines. A universal short aeration instruction needs water-specific validation.</x:v>
      </x:c>
    </x:row>
    <x:row r="219" ht="63.75" customHeight="1">
      <x:c r="A219" s="12" t="str">
        <x:v>S15</x:v>
      </x:c>
      <x:c r="B219" s="21" t="n">
        <x:v>46286</x:v>
      </x:c>
      <x:c r="C219" s="12" t="str">
        <x:v>California BOE: Welfare and Veterans Organization Exemptions
https://www.boe.ca.gov/proptaxes/welfarevets.htm</x:v>
      </x:c>
      <x:c r="D219" s="12" t="str">
        <x:v>Organizational qualification and actual property use are separate determinations. A charitable charter alone is not a tax exemption.</x:v>
      </x:c>
    </x:row>
    <x:row r="220" ht="63.75" customHeight="1">
      <x:c r="A220" s="12" t="str">
        <x:v>S16</x:v>
      </x:c>
      <x:c r="B220" s="21" t="n">
        <x:v>46286</x:v>
      </x:c>
      <x:c r="C220" s="12" t="str">
        <x:v>FDA: Why do farmers in the U.S. grow GMO crops?
https://www.fda.gov/food/agricultural-biotechnology/why-do-farmers-us-grow-gmo-crops</x:v>
      </x:c>
      <x:c r="D220" s="12" t="str">
        <x:v>Identifies different traits including insect resistance, herbicide tolerance and virus resistance. Does not establish universal sterility or one required chemical regimen.</x:v>
      </x:c>
    </x:row>
    <x:row r="221" ht="63.75" customHeight="1">
      <x:c r="A221" s="12" t="str">
        <x:v>S17</x:v>
      </x:c>
      <x:c r="B221" s="21" t="n">
        <x:v>46286</x:v>
      </x:c>
      <x:c r="C221" s="12" t="str">
        <x:v>USDA: Food Waste FAQs
https://www.usda.gov/about-food/food-safety/food-loss-and-waste/food-waste-faqs</x:v>
      </x:c>
      <x:c r="D221" s="12" t="str">
        <x:v>The familiar 30–40% estimate is for the United States. It cannot be silently relabeled a global statistic.</x:v>
      </x:c>
    </x:row>
    <x:row r="222" ht="63.75" customHeight="1">
      <x:c r="A222" s="12" t="str">
        <x:v>S18</x:v>
      </x:c>
      <x:c r="B222" s="21" t="n">
        <x:v>46286</x:v>
      </x:c>
      <x:c r="C222" s="12" t="str">
        <x:v>National Park Service: Homestead history and culture
https://www.nps.gov/home/learn/historyculture/index.htm</x:v>
      </x:c>
      <x:c r="D222" s="12" t="str">
        <x:v>Places homesteading in the history of land inhabited by Indigenous peoples; relevant context for a book opposing enclosure.</x:v>
      </x:c>
    </x:row>
    <x:row r="223" ht="63.75" customHeight="1">
      <x:c r="A223" s="12" t="str">
        <x:v>S19</x:v>
      </x:c>
      <x:c r="B223" s="21" t="n">
        <x:v>46286</x:v>
      </x:c>
      <x:c r="C223" s="12" t="str">
        <x:v>Kiwix applications
https://get.kiwix.org/en/solutions/applications/</x:v>
      </x:c>
      <x:c r="D223" s="12" t="str">
        <x:v>Official offline reader offerings include phones, tablets and computers.</x:v>
      </x:c>
    </x:row>
    <x:row r="224" ht="63.75" customHeight="1">
      <x:c r="A224" s="12" t="str">
        <x:v>S20</x:v>
      </x:c>
      <x:c r="B224" s="21" t="n">
        <x:v>46286</x:v>
      </x:c>
      <x:c r="C224" s="12" t="str">
        <x:v>Institute for Futures Studies: Dunbar number research
https://www.iffs.se/en/news/new-study-deconstructs-dunbar-s-number-yes-you-can-have-more-than-150-friends/</x:v>
      </x:c>
      <x:c r="D224" s="12" t="str">
        <x:v>Research institution reporting its study challenging a precise biological limit of 150. Use as evidence of uncertainty, not proof that group size never matters.</x:v>
      </x:c>
    </x:row>
    <x:row r="225" ht="63.75" customHeight="1">
      <x:c r="A225" s="12" t="str">
        <x:v>S21</x:v>
      </x:c>
      <x:c r="B225" s="21" t="n">
        <x:v>46286</x:v>
      </x:c>
      <x:c r="C225" s="12" t="str">
        <x:v>OPM: Federal holidays, 2027
https://www.opm.gov/policy-data-oversight/pay-leave/federal-holidays/#url=2027</x:v>
      </x:c>
      <x:c r="D225" s="12" t="str">
        <x:v>U.S. Thanksgiving is Thursday, 25 November 2027.</x:v>
      </x:c>
    </x:row>
    <x:row r="226" ht="63.75" customHeight="1">
      <x:c r="A226" s="12" t="str">
        <x:v>S22</x:v>
      </x:c>
      <x:c r="B226" s="21" t="n">
        <x:v>46286</x:v>
      </x:c>
      <x:c r="C226" s="12" t="str">
        <x:v>ITU: Facts and Figures 2025
https://www.itu.int/itu-d/reports/statistics/facts-figures-2025/</x:v>
      </x:c>
      <x:c r="D226" s="12" t="str">
        <x:v>Connectivity is widespread but uneven. Coverage, subscriptions, unique device owners and Internet users are different measures. This source does not count screwdrivers.</x:v>
      </x:c>
    </x:row>
    <x:row r="227" ht="63.75" customHeight="1">
      <x:c r="A227" s="12" t="str">
        <x:v>S23</x:v>
      </x:c>
      <x:c r="B227" s="21" t="n">
        <x:v>46286</x:v>
      </x:c>
      <x:c r="C227" s="12" t="str">
        <x:v>Figure: Introducing Helix 02
https://www.figure.ai/news/helix-02</x:v>
      </x:c>
      <x:c r="D227" s="12" t="str">
        <x:v>Company report dated January 27, 2026 describes a four-minute autonomous kitchen task and manipulation demonstrations. Evidence of progress, not independent validation of unsupervised yard clearance or a free public service.</x:v>
      </x:c>
    </x:row>
    <x:row r="228" ht="63.75" customHeight="1">
      <x:c r="A228" s="12" t="str">
        <x:v>H01</x:v>
      </x:c>
      <x:c r="B228" s="21" t="n">
        <x:v>46286</x:v>
      </x:c>
      <x:c r="C228" s="12" t="str">
        <x:v>Music Performance Trust Fund: institutional history
https://musicpf.org/about/</x:v>
      </x:c>
      <x:c r="D228" s="12" t="str">
        <x:v>Supports the shared royalty funding and free public-performance mechanism, not every detail in P-10.</x:v>
      </x:c>
    </x:row>
    <x:row r="229" ht="63.75" customHeight="1">
      <x:c r="A229" s="12" t="str">
        <x:v>H02</x:v>
      </x:c>
      <x:c r="B229" s="21" t="n">
        <x:v>46286</x:v>
      </x:c>
      <x:c r="C229" s="12" t="str">
        <x:v>Kodak milestones
https://www.kodak.com/en/company/page/milestones/</x:v>
      </x:c>
      <x:c r="D229" s="12" t="str">
        <x:v>Records digital-camera activity and emergence from Chapter 11, countering a simple nonadoption/death account.</x:v>
      </x:c>
    </x:row>
    <x:row r="230" ht="63.75" customHeight="1">
      <x:c r="A230" s="12" t="str">
        <x:v>H03</x:v>
      </x:c>
      <x:c r="B230" s="21" t="n">
        <x:v>46286</x:v>
      </x:c>
      <x:c r="C230" s="12" t="str">
        <x:v>Richmond Fed: The House Is in the Mail
https://www.richmondfed.org/publications/research/econ_focus/2019/q2-3/economic_history</x:v>
      </x:c>
      <x:c r="D230" s="12" t="str">
        <x:v>Historical synthesis distinguishing early materials/plans from later precut offerings.</x:v>
      </x:c>
    </x:row>
    <x:row r="231" ht="63.75" customHeight="1">
      <x:c r="A231" s="12" t="str">
        <x:v>H04</x:v>
      </x:c>
      <x:c r="B231" s="21" t="n">
        <x:v>46286</x:v>
      </x:c>
      <x:c r="C231" s="12" t="str">
        <x:v>Engelbart: Augmenting Human Intellect (1962)
https://www.dougengelbart.org/pubs/augment-3906.html</x:v>
      </x:c>
      <x:c r="D231" s="12" t="str">
        <x:v>Primary conceptual report, including an illustrative augmented architect. Does not establish AGI timing.</x:v>
      </x:c>
    </x:row>
    <x:row r="232" ht="63.75" customHeight="1">
      <x:c r="A232" s="12" t="str">
        <x:v>H05</x:v>
      </x:c>
      <x:c r="B232" s="21" t="n">
        <x:v>46286</x:v>
      </x:c>
      <x:c r="C232" s="12" t="str">
        <x:v>GAO: Year 2000 Computing Challenge, lessons learned
https://www.gao.gov/assets/aimd-00-290.pdf</x:v>
      </x:c>
      <x:c r="D232" s="12" t="str">
        <x:v>Documents federal preparation and coordination. Does not establish every global counterfactual or cost.</x:v>
      </x:c>
    </x:row>
    <x:row r="235" ht="31.5" customHeight="1">
      <x:c r="A235" s="29" t="str">
        <x:v>New source ID</x:v>
      </x:c>
      <x:c r="B235" s="29" t="str">
        <x:v>Checked</x:v>
      </x:c>
      <x:c r="C235" s="29" t="str">
        <x:v>Title and source URL</x:v>
      </x:c>
      <x:c r="D235" s="29" t="str">
        <x:v>Verification boundary</x:v>
      </x:c>
    </x:row>
    <x:row r="236" ht="88.5" customHeight="1">
      <x:c r="A236" s="42" t="str">
        <x:v>N01</x:v>
      </x:c>
      <x:c r="B236" s="42" t="str">
        <x:v>2026-09-21</x:v>
      </x:c>
      <x:c r="C236" s="42" t="str">
        <x:v>University of California: Can’t pay attention? You’re not alone (2023-05-11)
https://www.universityofcalifornia.edu/news/cant-pay-attention-youre-not-alone</x:v>
      </x:c>
      <x:c r="D236" s="42" t="str">
        <x:v>Full researcher interview inspected. Project-return time includes intervening activities; attention has multiple influences. Does not support the book’s universal interruption threshold or receptor-to-compliance diagram.</x:v>
      </x:c>
    </x:row>
    <x:row r="237" ht="88.5" customHeight="1">
      <x:c r="A237" s="42" t="str">
        <x:v>N02</x:v>
      </x:c>
      <x:c r="B237" s="42" t="str">
        <x:v>2026-09-21</x:v>
      </x:c>
      <x:c r="C237" s="42" t="str">
        <x:v>CU Anschutz: Does a Dopamine Detox Really Work? (2024-01-20)
https://news.cuanschutz.edu/news-stories/can-the-dopamine-detox-trend-break-my-digital-addiction</x:v>
      </x:c>
      <x:c r="D237" s="42" t="str">
        <x:v>Full clinician interview inspected. Supports caution about literal detox/quick-fix framing, not a quantified receptor recovery timetable. No replacement medical claim proposed.</x:v>
      </x:c>
    </x:row>
    <x:row r="238" ht="88.5" customHeight="1">
      <x:c r="A238" s="42" t="str">
        <x:v>N03</x:v>
      </x:c>
      <x:c r="B238" s="42" t="str">
        <x:v>2026-09-21</x:v>
      </x:c>
      <x:c r="C238" s="42" t="str">
        <x:v>Congressional letter to Commerce on frontier-model export controls (2026-06-18)
https://liccardo.house.gov/sites/evo-subsites/liccardo.house.gov/files/evo-media-document/6.18.26-letter-to-commerce-department-on-frontier-model-export-controls.pdf</x:v>
      </x:c>
      <x:c r="D238" s="42" t="str">
        <x:v>Search index corroborates June 12 action; full document returned 403. A research lead, not completed primary verification of the manuscript chronology.</x:v>
      </x:c>
    </x:row>
    <x:row r="239" ht="88.5" customHeight="1">
      <x:c r="A239" s="42" t="str">
        <x:v>N04</x:v>
      </x:c>
      <x:c r="B239" s="42" t="str">
        <x:v>2026-09-21</x:v>
      </x:c>
      <x:c r="C239" s="42" t="str">
        <x:v>Anthropic announcement: export controls lifted
https://x.com/AnthropicAI/status/2072106151890809341</x:v>
      </x:c>
      <x:c r="D239" s="42" t="str">
        <x:v>Company search result says controls on Fable 5 and Mythos 5 were lifted and restoration would begin. Full open returned 403; verify full text/date and actual access conditions before publication.</x:v>
      </x:c>
    </x:row>
    <x:row r="241" ht="31.5" customHeight="1">
      <x:c r="A241" s="50" t="str">
        <x:v>New source ID</x:v>
      </x:c>
      <x:c r="B241" s="50" t="str">
        <x:v>Checked</x:v>
      </x:c>
      <x:c r="C241" s="50" t="str">
        <x:v>Title and source URL</x:v>
      </x:c>
      <x:c r="D241" s="50" t="str">
        <x:v>Verification boundary</x:v>
      </x:c>
    </x:row>
    <x:row r="242" ht="90" customHeight="1">
      <x:c r="A242" s="13" t="str">
        <x:v>N05</x:v>
      </x:c>
      <x:c r="B242" s="13" t="str">
        <x:v>2026-09-21</x:v>
      </x:c>
      <x:c r="C242" s="13" t="str">
        <x:v>Soil biology, University of Minnesota Extension
https://extension.umn.edu/natural-resources/conservation/agricultural-soil-and-water/soil-biology</x:v>
      </x:c>
      <x:c r="D242" s="13" t="str">
        <x:v>Opened primary extension guidance. Distinguishes rhizobial nitrogen fixation from mycorrhizal nutrient uptake and describes conditional effects of inputs. Does not validate the manuscript’s tea recipe or a closed food system.</x:v>
      </x:c>
    </x:row>
    <x:row r="243" ht="90" customHeight="1">
      <x:c r="A243" s="13" t="str">
        <x:v>N06</x:v>
      </x:c>
      <x:c r="B243" s="13" t="str">
        <x:v>2026-09-21</x:v>
      </x:c>
      <x:c r="C243" s="13" t="str">
        <x:v>Urban Agriculture, U.S. Environmental Protection Agency
https://www.epa.gov/brownfields/urban-agriculture</x:v>
      </x:c>
      <x:c r="D243" s="13" t="str">
        <x:v>Opened primary guidance on agriculture and potentially contaminated sites. Supports separating site suitability from apparent soil recovery. Does not assess the fictional site or prescribe its remediation.</x:v>
      </x:c>
    </x:row>
    <x:row r="244" ht="90" customHeight="1">
      <x:c r="A244" s="13" t="str">
        <x:v>N07</x:v>
      </x:c>
      <x:c r="B244" s="13" t="str">
        <x:v>2026-09-21</x:v>
      </x:c>
      <x:c r="C244" s="13" t="str">
        <x:v>GLM-5.2 model card, Z.ai
https://huggingface.co/zai-org/GLM-5.2</x:v>
      </x:c>
      <x:c r="D244" s="13" t="str">
        <x:v>Opened publisher model card. Identity and MIT license verified; benchmark results are publisher claims. Does not independently establish domestic-chip training or the manuscript’s comparison to restricted cybersecurity capability.</x:v>
      </x:c>
    </x:row>
    <x:row r="245" ht="90" customHeight="1">
      <x:c r="A245" s="13" t="str">
        <x:v>N08</x:v>
      </x:c>
      <x:c r="B245" s="13" t="str">
        <x:v>2026-09-21</x:v>
      </x:c>
      <x:c r="C245" s="13" t="str">
        <x:v>Learn About Aquatic Trash, U.S. EPA
https://www.epa.gov/trash-free-waters/learn-about-aquatic-trash</x:v>
      </x:c>
      <x:c r="D245" s="13" t="str">
        <x:v>Primary page opened. Describes intentional and unintentional pathways and several capture methods. Supports comparing prevention and removal; it does not establish the performance or behavioral effects of a proposed autonomous robot service.</x:v>
      </x:c>
    </x:row>
    <x:row r="246" ht="90" customHeight="1">
      <x:c r="A246" s="13" t="str">
        <x:v>N09</x:v>
      </x:c>
      <x:c r="B246" s="13" t="str">
        <x:v>2026-09-21</x:v>
      </x:c>
      <x:c r="C246" s="13" t="str">
        <x:v>Robotics in the Workplace: An Overview, NIOSH
https://www.cdc.gov/niosh/robotics/about/index.html</x:v>
      </x:c>
      <x:c r="D246" s="13" t="str">
        <x:v>Primary page opened. Robotics can reduce exposure to some dangerous tasks while introducing hazards of its own. This is a deployment-specific consideration, not proof that a particular cleanup robot is safe or ready.</x:v>
      </x:c>
    </x:row>
    <x:row r="247" ht="90" customHeight="1">
      <x:c r="A247" s="13" t="str">
        <x:v>N10</x:v>
      </x:c>
      <x:c r="B247" s="13" t="str">
        <x:v>2026-09-21</x:v>
      </x:c>
      <x:c r="C247" s="13" t="str">
        <x:v>What is Marine Debris?, NOAA Marine Debris Program
https://marinedebris.noaa.gov/discover-marine-debris/what-marine-debris</x:v>
      </x:c>
      <x:c r="D247" s="13" t="str">
        <x:v>Primary page opened. Includes intentional and unintentional debris and supports both prevention and removal. No single method or autonomous fleet is established as the universal answer.</x:v>
      </x:c>
    </x:row>
  </x:sheetData>
  <x:pageMargins left="0.7" right="0.7" top="0.75" bottom="0.75" header="0.3" footer="0.3"/>
  <x:tableParts count="2">
    <x:tablePart xmlns:r="http://schemas.openxmlformats.org/officeDocument/2006/relationships" r:id="R4319deb5fa6c46f6"/>
    <x:tablePart xmlns:r="http://schemas.openxmlformats.org/officeDocument/2006/relationships" r:id="Ra689b14363424831"/>
  </x:tableParts>
</x:worksheet>
</file>

<file path=xl/worksheets/sheet4.xml><?xml version="1.0" encoding="utf-8"?>
<x:worksheet xmlns:x="http://schemas.openxmlformats.org/spreadsheetml/2006/main">
  <x:sheetPr>
    <x:tabColor rgb="FF8392A1"/>
  </x:sheetPr>
  <x:sheetViews>
    <x:sheetView showGridLines="0" workbookViewId="0"/>
  </x:sheetViews>
  <x:sheetFormatPr defaultRowHeight="15"/>
  <x:cols>
    <x:col min="1" max="1" width="16.110000610351562" hidden="0" customWidth="1"/>
    <x:col min="2" max="2" width="46.11000061035156" hidden="0" customWidth="1"/>
    <x:col min="3" max="3" width="60" hidden="0" customWidth="1"/>
  </x:cols>
  <x:sheetData>
    <x:row r="1" ht="18" customHeight="1">
      <x:c r="A1" s="2"/>
      <x:c r="B1" s="2"/>
      <x:c r="C1" s="2"/>
    </x:row>
    <x:row r="2" ht="27" customHeight="1">
      <x:c r="A2" s="3" t="str">
        <x:v>How to use the matrix</x:v>
      </x:c>
      <x:c r="B2" s="2"/>
      <x:c r="C2" s="2"/>
    </x:row>
    <x:row r="3" ht="18" customHeight="1">
      <x:c r="A3" s="2" t="str">
        <x:v>Current direction: A01–A11. Use the food-first review, then record decisions and notes in the amber fields.</x:v>
      </x:c>
      <x:c r="B3" s="2"/>
      <x:c r="C3" s="2"/>
    </x:row>
    <x:row r="4" ht="18" customHeight="1">
      <x:c r="A4" s="2"/>
      <x:c r="B4" s="2"/>
      <x:c r="C4" s="2"/>
    </x:row>
    <x:row r="5" ht="31.5" customHeight="1">
      <x:c r="A5" s="9" t="str">
        <x:v>Criterion</x:v>
      </x:c>
      <x:c r="B5" s="10" t="str">
        <x:v>Question</x:v>
      </x:c>
      <x:c r="C5" s="11" t="str">
        <x:v>Standard applied</x:v>
      </x:c>
    </x:row>
    <x:row r="6" ht="57" customHeight="1">
      <x:c r="A6" s="12" t="str">
        <x:v>Hope</x:v>
      </x:c>
      <x:c r="B6" s="12" t="str">
        <x:v>Does the passage reduce needless suffering and make thriving imaginable?</x:v>
      </x:c>
      <x:c r="C6" s="12" t="str">
        <x:v>Preserve urgency, humor, rest, art, care and dignity. Avoid shame or guaranteed rescue.</x:v>
      </x:c>
    </x:row>
    <x:row r="7" ht="57" customHeight="1">
      <x:c r="A7" s="12" t="str">
        <x:v>Forecasts</x:v>
      </x:c>
      <x:c r="B7" s="12" t="str">
        <x:v>Can readers distinguish observation, prediction and scenario?</x:v>
      </x:c>
      <x:c r="C7" s="12" t="str">
        <x:v>Thanksgiving 2027 remains a personal AGI forecast. Separate recursive improvement, hardware, access and adoption.</x:v>
      </x:c>
    </x:row>
    <x:row r="8" ht="57" customHeight="1">
      <x:c r="A8" s="12" t="str">
        <x:v>People</x:v>
      </x:c>
      <x:c r="B8" s="12" t="str">
        <x:v>Does it explain recurring motives without inventing fixed moral types?</x:v>
      </x:c>
      <x:c r="C8" s="12" t="str">
        <x:v>Represent livelihood, status, belonging, care and curiosity. Criticize conduct; allow legitimate disagreement.</x:v>
      </x:c>
    </x:row>
    <x:row r="9" ht="57" customHeight="1">
      <x:c r="A9" s="12" t="str">
        <x:v>Access</x:v>
      </x:c>
      <x:c r="B9" s="12" t="str">
        <x:v>Does useful help reach people without requiring ownership?</x:v>
      </x:c>
      <x:c r="C9" s="12" t="str">
        <x:v>Show a bounded access assumption and real inputs; institutional service design can remain collective work.</x:v>
      </x:c>
    </x:row>
    <x:row r="10" ht="57" customHeight="1">
      <x:c r="A10" s="12" t="str">
        <x:v>Practice</x:v>
      </x:c>
      <x:c r="B10" s="12" t="str">
        <x:v>Does a useful task advance the food-first mission?</x:v>
      </x:c>
      <x:c r="C10" s="12" t="str">
        <x:v>Food, land care, cleanup, shelter, then further applications. Keep current capability, concepts and instructions distinct.</x:v>
      </x:c>
    </x:row>
    <x:row r="11" ht="57" customHeight="1">
      <x:c r="A11" s="12" t="str">
        <x:v>History</x:v>
      </x:c>
      <x:c r="B11" s="12" t="str">
        <x:v>Is the analogy sourced and limited to what it can show?</x:v>
      </x:c>
      <x:c r="C11" s="12" t="str">
        <x:v>Distinguish adoption from benefits, include who paid the cost, and avoid survivor-selected universal laws.</x:v>
      </x:c>
    </x:row>
    <x:row r="12" ht="57" customHeight="1">
      <x:c r="A12" s="12" t="str">
        <x:v>Coherence</x:v>
      </x:c>
      <x:c r="B12" s="12" t="str">
        <x:v>Do definitions, scenes, diagrams and cross-references agree?</x:v>
      </x:c>
      <x:c r="C12" s="12" t="str">
        <x:v>Use one calendar and consistent terms, inventories, chapter titles, forecast labels and precedent counts.</x:v>
      </x:c>
    </x:row>
    <x:row r="13" ht="57" customHeight="1">
      <x:c r="A13" s="12" t="str">
        <x:v>Evidence</x:v>
      </x:c>
      <x:c r="B13" s="12" t="str">
        <x:v>Can consequential claims and instructions carry their practical weight?</x:v>
      </x:c>
      <x:c r="C13" s="12" t="str">
        <x:v>Trace claims to matching evidence. Separate demonstrations, educational examples and reproducible procedures.</x:v>
      </x:c>
    </x:row>
    <x:row r="14" ht="18" customHeight="1">
      <x:c r="A14" s="2"/>
      <x:c r="B14" s="2"/>
      <x:c r="C14" s="2"/>
    </x:row>
    <x:row r="15" ht="18" customHeight="1">
      <x:c r="A15" s="2"/>
      <x:c r="B15" s="2"/>
      <x:c r="C15" s="2"/>
    </x:row>
    <x:row r="16" ht="31.5" customHeight="1">
      <x:c r="A16" s="9" t="str">
        <x:v>Decision</x:v>
      </x:c>
      <x:c r="B16" s="10" t="str">
        <x:v>Author direction</x:v>
      </x:c>
      <x:c r="C16" s="11" t="str">
        <x:v>Application</x:v>
      </x:c>
    </x:row>
    <x:row r="17" ht="58.5" customHeight="1">
      <x:c r="A17" s="12" t="str">
        <x:v>A01</x:v>
      </x:c>
      <x:c r="B17" s="12" t="str">
        <x:v>Personal expected AGI date: U.S. Thanksgiving 2027, November 25. Timing remains unpredictable.</x:v>
      </x:c>
      <x:c r="C17" s="12" t="str">
        <x:v>Forecast and milestone consistency</x:v>
      </x:c>
    </x:row>
    <x:row r="18" ht="58.5" customHeight="1">
      <x:c r="A18" s="12" t="str">
        <x:v>A02</x:v>
      </x:c>
      <x:c r="B18" s="12" t="str">
        <x:v>Chapter 11 title: King and Queen of Your Own Robotic Court.</x:v>
      </x:c>
      <x:c r="C18" s="12" t="str">
        <x:v>Contents, heading, transition and navigation</x:v>
      </x:c>
    </x:row>
    <x:row r="19" ht="58.5" customHeight="1">
      <x:c r="A19" s="12" t="str">
        <x:v>A03</x:v>
      </x:c>
      <x:c r="B19" s="12" t="str">
        <x:v>Mutually assured survival is the author's conviction and organizing goal, not an inevitable outcome.</x:v>
      </x:c>
      <x:c r="C19" s="12" t="str">
        <x:v>Cooperation with meaningful uncertainty</x:v>
      </x:c>
    </x:row>
    <x:row r="20" ht="57" customHeight="1">
      <x:c r="A20" s="12" t="str">
        <x:v>A04</x:v>
      </x:c>
      <x:c r="B20" s="12" t="str">
        <x:v>Conditional access may persist; lower-cost labor can expand bargaining power and mutual-aid alternatives.</x:v>
      </x:c>
      <x:c r="C20" s="12" t="str">
        <x:v>Illustrative access assumptions; real provision is shared work</x:v>
      </x:c>
    </x:row>
    <x:row r="21" ht="57" customHeight="1">
      <x:c r="A21" s="12" t="str">
        <x:v>A05</x:v>
      </x:c>
      <x:c r="B21" s="12" t="str">
        <x:v>Develop the existing grandma scene on pp. 166–171. Possible 2027 robot service remains a forecast.</x:v>
      </x:c>
      <x:c r="C21" s="12" t="str">
        <x:v>Do not add a duplicate fine/fixed-income setup; clarify actors and outcome.</x:v>
      </x:c>
    </x:row>
    <x:row r="22" ht="58.5" customHeight="1">
      <x:c r="A22" s="12" t="str">
        <x:v>A06</x:v>
      </x:c>
      <x:c r="B22" s="12" t="str">
        <x:v>An optimist's field manual for surviving and thriving. A dedicated threat chapter is under consideration.</x:v>
      </x:c>
      <x:c r="C22" s="12" t="str">
        <x:v>Human benefits beyond productivity</x:v>
      </x:c>
    </x:row>
    <x:row r="23" ht="58.5" customHeight="1">
      <x:c r="A23" s="12" t="str">
        <x:v>A07</x:v>
      </x:c>
      <x:c r="B23" s="12" t="str">
        <x:v>Use history to illuminate recurring motives and a shorter path from intention to useful results.</x:v>
      </x:c>
      <x:c r="C23" s="12" t="str">
        <x:v>Historical motives and bounded analogies</x:v>
      </x:c>
    </x:row>
    <x:row r="24" ht="58.5" customHeight="1">
      <x:c r="A24" s="12" t="str">
        <x:v>A08</x:v>
      </x:c>
      <x:c r="B24" s="12" t="str">
        <x:v>Talk with curiosity, try the tools and stay adaptable. Wide lens, narrow focus. Give readers something they can evaluate and criticize.</x:v>
      </x:c>
      <x:c r="C24" s="12" t="str">
        <x:v>An observable conversation, trial and review</x:v>
      </x:c>
    </x:row>
    <x:row r="25" ht="18" customHeight="1">
      <x:c r="A25" s="2"/>
      <x:c r="B25" s="2"/>
      <x:c r="C25" s="2"/>
    </x:row>
    <x:row r="26" ht="18" customHeight="1">
      <x:c r="A26" s="2"/>
      <x:c r="B26" s="2"/>
      <x:c r="C26" s="2"/>
    </x:row>
    <x:row r="27" ht="31.5" customHeight="1">
      <x:c r="A27" s="9" t="str">
        <x:v>Rating</x:v>
      </x:c>
      <x:c r="B27" s="10" t="str">
        <x:v>Meaning</x:v>
      </x:c>
      <x:c r="C27" s="11" t="str">
        <x:v>What to do</x:v>
      </x:c>
    </x:row>
    <x:row r="28" ht="48" customHeight="1">
      <x:c r="A28" s="12" t="str">
        <x:v>Conflict</x:v>
      </x:c>
      <x:c r="B28" s="12" t="str">
        <x:v>The reviewed passage conflicts with the intended direction or another passage.</x:v>
      </x:c>
      <x:c r="C28" s="12" t="str">
        <x:v>Revise the precise claim and check its dependent locations.</x:v>
      </x:c>
    </x:row>
    <x:row r="29" ht="48" customHeight="1">
      <x:c r="A29" s="12" t="str">
        <x:v>Develop</x:v>
      </x:c>
      <x:c r="B29" s="12" t="str">
        <x:v>A useful mechanism, benefit or reader route needs more development.</x:v>
      </x:c>
      <x:c r="C29" s="12" t="str">
        <x:v>Add the smallest concrete explanation or action that closes the gap.</x:v>
      </x:c>
    </x:row>
    <x:row r="30" ht="48" customHeight="1">
      <x:c r="A30" s="12" t="str">
        <x:v>Verify</x:v>
      </x:c>
      <x:c r="B30" s="12" t="str">
        <x:v>Consequential evidence or implementation work remains unresolved.</x:v>
      </x:c>
      <x:c r="C30" s="12" t="str">
        <x:v>Source, test, qualify or remove the claim before treating it as established.</x:v>
      </x:c>
    </x:row>
    <x:row r="31" ht="48" customHeight="1">
      <x:c r="A31" s="12" t="str">
        <x:v>Retain</x:v>
      </x:c>
      <x:c r="B31" s="12" t="str">
        <x:v>An identified strength should survive the revision.</x:v>
      </x:c>
      <x:c r="C31" s="12" t="str">
        <x:v>Protect the scene or function while correcting nearby material.</x:v>
      </x:c>
    </x:row>
    <x:row r="32" ht="48" customHeight="1">
      <x:c r="A32" s="12" t="str">
        <x:v>n.a.</x:v>
      </x:c>
      <x:c r="B32" s="12" t="str">
        <x:v>This is not a principal criterion for this section in this review.</x:v>
      </x:c>
      <x:c r="C32" s="12" t="str">
        <x:v>Do not add material merely to fill a matrix cell.</x:v>
      </x:c>
    </x:row>
    <x:row r="33" ht="18" customHeight="1">
      <x:c r="A33" s="2"/>
      <x:c r="B33" s="2"/>
      <x:c r="C33" s="2"/>
    </x:row>
    <x:row r="34" ht="18" customHeight="1">
      <x:c r="A34" s="2"/>
      <x:c r="B34" s="2"/>
      <x:c r="C34" s="2"/>
    </x:row>
    <x:row r="35" ht="31.5" customHeight="1">
      <x:c r="A35" s="9" t="str">
        <x:v>Priority</x:v>
      </x:c>
      <x:c r="B35" s="10" t="str">
        <x:v>Meaning</x:v>
      </x:c>
      <x:c r="C35" s="11" t="str">
        <x:v>Typical work</x:v>
      </x:c>
    </x:row>
    <x:row r="36" ht="57" customHeight="1">
      <x:c r="A36" s="12" t="str">
        <x:v>P0</x:v>
      </x:c>
      <x:c r="B36" s="12" t="str">
        <x:v>Resolve the publication claim before practical publication.</x:v>
      </x:c>
      <x:c r="C36" s="12" t="str">
        <x:v>Correct, narrow or remove unsupported instructions or contradictions. The author need not engineer every system.</x:v>
      </x:c>
    </x:row>
    <x:row r="37" ht="52.5" customHeight="1">
      <x:c r="A37" s="12" t="str">
        <x:v>P1</x:v>
      </x:c>
      <x:c r="B37" s="12" t="str">
        <x:v>Resolve in substantive revision.</x:v>
      </x:c>
      <x:c r="C37" s="12" t="str">
        <x:v>Forecasts, argument, humane framing, evidence and reader actions.</x:v>
      </x:c>
    </x:row>
    <x:row r="38" ht="52.5" customHeight="1">
      <x:c r="A38" s="12" t="str">
        <x:v>P2</x:v>
      </x:c>
      <x:c r="B38" s="12" t="str">
        <x:v>Resolve in continuity, references and production.</x:v>
      </x:c>
      <x:c r="C38" s="12" t="str">
        <x:v>Calendar, titles, pointers, counts, traceability and actual output proofing.</x:v>
      </x:c>
    </x:row>
    <x:row r="39" ht="18" customHeight="1">
      <x:c r="A39" s="2"/>
      <x:c r="B39" s="2"/>
      <x:c r="C39" s="2"/>
    </x:row>
    <x:row r="40" ht="18" customHeight="1">
      <x:c r="A40" s="2"/>
      <x:c r="B40" s="2"/>
      <x:c r="C40" s="2"/>
    </x:row>
    <x:row r="41" ht="31.5" customHeight="1">
      <x:c r="A41" s="9" t="str">
        <x:v>Scope note</x:v>
      </x:c>
      <x:c r="B41" s="10" t="str">
        <x:v>What this review establishes</x:v>
      </x:c>
      <x:c r="C41" s="11" t="str"/>
    </x:row>
    <x:row r="42" ht="51" customHeight="1">
      <x:c r="A42" s="2" t="n">
        <x:v>1</x:v>
      </x:c>
      <x:c r="B42" s="12" t="str">
        <x:v>The attachment is byte-identical to the original reviewed earlier. Prior page anchors therefore remain valid.</x:v>
      </x:c>
      <x:c r="C42" s="2" t="str"/>
    </x:row>
    <x:row r="43" ht="51" customHeight="1">
      <x:c r="A43" s="2" t="n">
        <x:v>2</x:v>
      </x:c>
      <x:c r="B43" s="12" t="str">
        <x:v>The matrix assesses the original PDF. The Chapter 11 title exists only in working revision r002, and the new conclusion remains a proposal.</x:v>
      </x:c>
      <x:c r="C43" s="2" t="str"/>
    </x:row>
    <x:row r="44" ht="51" customHeight="1">
      <x:c r="A44" s="2" t="n">
        <x:v>3</x:v>
      </x:c>
      <x:c r="B44" s="12" t="str">
        <x:v>Ratings describe the requested editorial fit of selected passages. They are not numerical quality scores, probabilities or chapter grades.</x:v>
      </x:c>
      <x:c r="C44" s="2" t="str"/>
    </x:row>
    <x:row r="45" ht="73.5" customHeight="1">
      <x:c r="A45" s="2" t="n">
        <x:v>4</x:v>
      </x:c>
      <x:c r="B45" s="12" t="str">
        <x:v>Conflict = a passage contradicts the stated direction or another passage. Develop = add a missing mechanism or reader route. Verify = source or technical validation remains. Retain = preserve the identified strength. n.a. = this criterion is not a principal review target here.</x:v>
      </x:c>
      <x:c r="C45" s="2" t="str"/>
    </x:row>
    <x:row r="46" ht="51" customHeight="1">
      <x:c r="A46" s="2" t="n">
        <x:v>5</x:v>
      </x:c>
      <x:c r="B46" s="12" t="str">
        <x:v>Each rating is an editorial judgment of selected relevant passages, not an automatic chapter grade. Linked edit IDs explain the changes. A Retain judgment never certifies every fact in a section.</x:v>
      </x:c>
      <x:c r="C46" s="2" t="str"/>
    </x:row>
    <x:row r="47" ht="61.5" customHeight="1">
      <x:c r="A47" s="2" t="n">
        <x:v>6</x:v>
      </x:c>
      <x:c r="B47" s="12" t="str">
        <x:v>P0 = resolve before using the material as a publication-ready practical guide. P1 = resolve in substantive revision. P2 = resolve in continuity, references and production. These are editing priorities, not measured risk scores.</x:v>
      </x:c>
      <x:c r="C47" s="2" t="str"/>
    </x:row>
    <x:row r="48" ht="57" customHeight="1">
      <x:c r="A48" s="2" t="n">
        <x:v>7</x:v>
      </x:c>
      <x:c r="B48" s="12" t="str">
        <x:v>Revision order: align food-first scope and forecast; complete the task thread; narrow prescriptions and collective claims; reconcile history and continuity; proof the actual edition.</x:v>
      </x:c>
      <x:c r="C48" s="2" t="str"/>
    </x:row>
    <x:row r="49" ht="51" customHeight="1">
      <x:c r="A49" s="2" t="n">
        <x:v>8</x:v>
      </x:c>
      <x:c r="B49" s="12" t="str">
        <x:v>The scope review narrows the book’s promises; it does not remove the need to correct misleading claims and unsupported practical instructions.</x:v>
      </x:c>
      <x:c r="C49" s="2" t="str"/>
    </x:row>
    <x:row r="50" ht="61.5" customHeight="1">
      <x:c r="A50" s="2" t="n">
        <x:v>9</x:v>
      </x:c>
      <x:c r="B50" s="12" t="str">
        <x:v>Source records S01-S23 and H01-H05 identify previously researched evidence. USDA, Docker and California exemption pages were revisited in this pass. Other claims retain the verification limits recorded in the earlier audits.</x:v>
      </x:c>
      <x:c r="C50" s="2" t="str"/>
    </x:row>
    <x:row r="51" ht="51" customHeight="1">
      <x:c r="A51" s="2" t="n">
        <x:v>10</x:v>
      </x:c>
      <x:c r="B51" s="12" t="str">
        <x:v>All 54 earlier consistency findings are carried forward: C01-C52 and C54 map to edit records; C53 concerns an uninserted phone analogy and is retained as an addition check below.</x:v>
      </x:c>
      <x:c r="C51" s="2" t="str"/>
    </x:row>
    <x:row r="52" ht="51" customHeight="1">
      <x:c r="A52" s="2" t="n">
        <x:v>11</x:v>
      </x:c>
      <x:c r="B52" s="12" t="str">
        <x:v>Addition check C53: use smartphones as an analogy for learning and diffusion. Do not add universal ownership or the phones-versus-screwdrivers comparison as fact without a comparable inventory source.</x:v>
      </x:c>
      <x:c r="C52" s="2" t="str"/>
    </x:row>
    <x:row r="53" ht="51" customHeight="1">
      <x:c r="A53" s="2" t="n">
        <x:v>12</x:v>
      </x:c>
      <x:c r="B53" s="12" t="str">
        <x:v>All 23 historical precedents are covered by E35 and the earlier case-by-case historical review. This workbook does not claim that every primary quotation has been verified.</x:v>
      </x:c>
      <x:c r="C53" s="2" t="str"/>
    </x:row>
    <x:row r="54" ht="51" customHeight="1">
      <x:c r="A54" s="2" t="n">
        <x:v>13</x:v>
      </x:c>
      <x:c r="B54" s="12" t="str">
        <x:v>New prose snippets are editorial suggestions, not quotations from the PDF. Exact source anchors are separately labeled and checked against the original extracted pages.</x:v>
      </x:c>
      <x:c r="C54" s="2" t="str"/>
    </x:row>
    <x:row r="55" ht="51" customHeight="1">
      <x:c r="A55" s="2" t="n">
        <x:v>14</x:v>
      </x:c>
      <x:c r="B55" s="12" t="str">
        <x:v>The proposed threat chapter remains optional. Prepare a movement map before insertion or renumbering. Keep the current premortem and practical precautions in place.</x:v>
      </x:c>
      <x:c r="C55" s="2" t="str"/>
    </x:row>
    <x:row r="56" ht="57" customHeight="1">
      <x:c r="A56" s="2" t="n">
        <x:v>15</x:v>
      </x:c>
      <x:c r="B56" s="12" t="str">
        <x:v>Current sources include A01–A11, the earlier audits and the food-first review. This pass supersedes earlier requests for author-designed governance and institutional systems.</x:v>
      </x:c>
      <x:c r="C56" s="2" t="str"/>
    </x:row>
    <x:row r="57" ht="18" customHeight="1">
      <x:c r="A57" s="2"/>
      <x:c r="B57" s="2"/>
      <x:c r="C57" s="2"/>
    </x:row>
    <x:row r="58" ht="18" customHeight="1">
      <x:c r="A58" s="2"/>
      <x:c r="B58" s="2"/>
      <x:c r="C58" s="2"/>
    </x:row>
    <x:row r="59" ht="39" customHeight="1">
      <x:c r="A59" s="2" t="str">
        <x:v>Source SHA-256</x:v>
      </x:c>
      <x:c r="B59" s="12" t="str">
        <x:v>0a1839c7f746925440482dbb972b2be8003f779d956c2397c9b20d1e73cb7c4e</x:v>
      </x:c>
      <x:c r="C59" s="12" t="str">
        <x:v>Byte-identical to the previously reviewed original.</x:v>
      </x:c>
    </x:row>
    <x:row r="60" ht="18" customHeight="1">
      <x:c r="A60" s="2"/>
      <x:c r="B60" s="2"/>
      <x:c r="C60" s="2"/>
    </x:row>
    <x:row r="61" ht="18" customHeight="1">
      <x:c r="A61" s="2"/>
      <x:c r="B61" s="2"/>
      <x:c r="C61" s="2"/>
    </x:row>
    <x:row r="62" ht="31.5" customHeight="1">
      <x:c r="A62" s="29" t="str">
        <x:v>Deeper review</x:v>
      </x:c>
      <x:c r="B62" s="29" t="str">
        <x:v>How to use it</x:v>
      </x:c>
      <x:c r="C62" s="29" t="str">
        <x:v>Scope / completion rule</x:v>
      </x:c>
    </x:row>
    <x:row r="63" ht="82.5" customHeight="1">
      <x:c r="A63" s="12" t="str">
        <x:v>Passage review</x:v>
      </x:c>
      <x:c r="B63" s="12" t="str">
        <x:v>155 distinct edits, tied to exact anchors in the original PDF. Rows start in page order; filter by parent edit or priority.</x:v>
      </x:c>
      <x:c r="C63" s="12" t="str">
        <x:v>All 45 parent groups have at least one detailed row. Several case-level rows cover a historical passage rather than a single sentence.</x:v>
      </x:c>
    </x:row>
    <x:row r="64" ht="82.5" customHeight="1">
      <x:c r="A64" s="12" t="str">
        <x:v>¹ Exact anchors</x:v>
      </x:c>
      <x:c r="B64" s="12" t="str">
        <x:v>Whitespace is normalized from PDF extraction. Some anchors are case headings or short phrases used to find the relevant paragraph or figure.</x:v>
      </x:c>
      <x:c r="C64" s="12" t="str">
        <x:v>An anchor establishes location, not truth. Read the surrounding passage before editing.</x:v>
      </x:c>
    </x:row>
    <x:row r="65" ht="82.5" customHeight="1">
      <x:c r="A65" s="12" t="str">
        <x:v>Priorities</x:v>
      </x:c>
      <x:c r="B65" s="12" t="str">
        <x:v>26 detailed P0 rows refine the five original P0 groups: E05, E20, E22, E24 and E27.</x:v>
      </x:c>
      <x:c r="C65" s="12" t="str">
        <x:v>Do not sum parent and child counts as independent issues. P0 means resolve before practical publication; it does not mean every row requires deletion.</x:v>
      </x:c>
    </x:row>
    <x:row r="66" ht="82.5" customHeight="1">
      <x:c r="A66" s="12" t="str">
        <x:v>Decisions</x:v>
      </x:c>
      <x:c r="B66" s="12" t="str">
        <x:v>Use amber Author decision and Your notes fields. Passage decisions do not overwrite the original parent decisions.</x:v>
      </x:c>
      <x:c r="C66" s="12" t="str">
        <x:v>Accept means accept a recommendation, not that its research, implementation or completion test has passed. All new decisions begin Unreviewed.</x:v>
      </x:c>
    </x:row>
    <x:row r="67" ht="82.5" customHeight="1">
      <x:c r="A67" s="12" t="str">
        <x:v>Dependencies</x:v>
      </x:c>
      <x:c r="B67" s="12" t="str">
        <x:v>After each edit, update dependent passages, diagrams and summaries.</x:v>
      </x:c>
      <x:c r="C67" s="12" t="str">
        <x:v>Original physical PDF pages remain anchors; the original PDF and working prose r002 are unchanged.</x:v>
      </x:c>
    </x:row>
    <x:row r="68" ht="82.5" customHeight="1">
      <x:c r="A68" s="12" t="str">
        <x:v>Argument tests</x:v>
      </x:c>
      <x:c r="B68" s="12" t="str">
        <x:v>T01–T12 examine the manuscript; T13–T20 test prospective author additions.</x:v>
      </x:c>
      <x:c r="C68" s="12" t="str">
        <x:v>T17–T20 cover dependency, WALL-E, existing methods and jobs. Counterexamples are hypothetical.</x:v>
      </x:c>
    </x:row>
    <x:row r="69" ht="82.5" customHeight="1">
      <x:c r="A69" s="12" t="str">
        <x:v>Research limits</x:v>
      </x:c>
      <x:c r="B69" s="12" t="str">
        <x:v>N05–N10 add soil, contaminated-site, named-model and cleanup/robotics source checks.</x:v>
      </x:c>
      <x:c r="C69" s="12" t="str">
        <x:v>N03–N04 retain their earlier incomplete-access limits. Primary source evidence supports only the claim scope stated.</x:v>
      </x:c>
    </x:row>
    <x:row r="70" ht="82.5" customHeight="1">
      <x:c r="A70" s="12" t="str">
        <x:v>Revision order</x:v>
      </x:c>
      <x:c r="B70" s="12" t="str">
        <x:v>First align the food-first promise and responsibility boundary; then complete examples and resolve unsupported prescriptions.</x:v>
      </x:c>
      <x:c r="C70" s="12" t="str">
        <x:v>This is an all-section mission review and reassessment of existing recommendations, not a full new line edit or system certification.</x:v>
      </x:c>
    </x:row>
    <x:row r="71" ht="82.5" customHeight="1">
      <x:c r="A71" s="12" t="str">
        <x:v>Protect strengths</x:v>
      </x:c>
      <x:c r="B71" s="12" t="str">
        <x:v>Keep Elijah’s uncertainty, Denny’s mixed motives, the privacy-breach consequences, the elder-neighbor scene, the regional plan and the premortem.</x:v>
      </x:c>
      <x:c r="C71" s="12" t="str">
        <x:v>Use the scenes as standards for adjacent exposition: concrete needs, fallible people, observable consequences and room to learn.</x:v>
      </x:c>
    </x:row>
    <x:row r="72" ht="18" customHeight="1">
      <x:c r="A72" s="2"/>
      <x:c r="B72" s="2"/>
      <x:c r="C72" s="2"/>
    </x:row>
    <x:row r="73" ht="18" customHeight="1">
      <x:c r="A73" s="2"/>
      <x:c r="B73" s="2"/>
      <x:c r="C73" s="2"/>
    </x:row>
    <x:row r="74" ht="31.5" customHeight="1">
      <x:c r="A74" s="50" t="str">
        <x:v>Latest author direction</x:v>
      </x:c>
      <x:c r="B74" s="50" t="str">
        <x:v>What it means for editing</x:v>
      </x:c>
      <x:c r="C74" s="50" t="str">
        <x:v>Implementation status</x:v>
      </x:c>
    </x:row>
    <x:row r="75" ht="87" customHeight="1">
      <x:c r="A75" s="13" t="str">
        <x:v>A09</x:v>
      </x:c>
      <x:c r="B75" s="13" t="str">
        <x:v>Food first; then other land management, trash cleanup, shelter and further useful applications.</x:v>
      </x:c>
      <x:c r="C75" s="13" t="str">
        <x:v>Governs emphasis and entry points. It does not require every chapter to move or tell people to postpone urgent shelter/care.</x:v>
      </x:c>
    </x:row>
    <x:row r="76" ht="87" customHeight="1">
      <x:c r="A76" s="13" t="str">
        <x:v>A10</x:v>
      </x:c>
      <x:c r="B76" s="13" t="str">
        <x:v>Governance is collective work by informed experts and the public. Food safety and cybersecurity need organizations and institutions.</x:v>
      </x:c>
      <x:c r="C76" s="13" t="str">
        <x:v>Remove solo-author system-design obligations. Keep the book accountable for accurate claims and appropriately bounded instructions.</x:v>
      </x:c>
    </x:row>
    <x:row r="77" ht="87" customHeight="1">
      <x:c r="A77" s="13" t="str">
        <x:v>A11</x:v>
      </x:c>
      <x:c r="B77" s="13" t="str">
        <x:v>Address dependency, WALL-E, existing methods and jobs briefly and respectfully. Useful cleanup and prevention come before automatic punitive assumptions.</x:v>
      </x:c>
      <x:c r="C77" s="13" t="str">
        <x:v>Proposal 004 is unapplied. Test effects rather than assume that robotics necessarily causes laziness or that it cannot.</x:v>
      </x:c>
    </x:row>
    <x:row r="78" ht="87" customHeight="1">
      <x:c r="A78" s="13" t="str">
        <x:v>Review coverage</x:v>
      </x:c>
      <x:c r="B78" s="13" t="str">
        <x:v>31 sections; 45 parent edits; 155 passage edits reassessed; 55 passage treatments specifically revised; 20 argument tests.</x:v>
      </x:c>
      <x:c r="C78" s="13" t="str">
        <x:v>Counts describe review work, not manuscript changes or completed research. Original author decisions and notes are preserved.</x:v>
      </x:c>
    </x:row>
    <x:row r="79" ht="87" customHeight="1">
      <x:c r="A79" s="13" t="str">
        <x:v>Scope columns</x:v>
      </x:c>
      <x:c r="B79" s="13" t="str">
        <x:v>Chapter P–Q: role and boundary. Edit queue O–P and Passage review P–Q: disposition and responsibility.</x:v>
      </x:c>
      <x:c r="C79" s="13" t="str">
        <x:v>Retain valid factual repairs even when implementation is deferred. A concept can be published without pretending it is a validated procedure.</x:v>
      </x:c>
    </x:row>
    <x:row r="80" ht="87" customHeight="1">
      <x:c r="A80" s="13" t="str">
        <x:v>Correction: grandma</x:v>
      </x:c>
      <x:c r="B80" s="13" t="str">
        <x:v>Page 166 already contains the fixed-income and code-enforcement stakes; the scene continues through 171.</x:v>
      </x:c>
      <x:c r="C80" s="13" t="str">
        <x:v>E17/P066 now address followthrough, roles, costs and availability instead of asking for a duplicate setup.</x:v>
      </x:c>
    </x:row>
    <x:row r="81" ht="87" customHeight="1">
      <x:c r="A81" s="13" t="str">
        <x:v>Correction: GLM</x:v>
      </x:c>
      <x:c r="B81" s="13" t="str">
        <x:v>Appendix B page 271 identifies GLM-5.2. The primary model card verifies identity and MIT licensing.</x:v>
      </x:c>
      <x:c r="C81" s="13" t="str">
        <x:v>E41/P008 now separate that verification from unresolved hardware, chronology and capability-comparison claims.</x:v>
      </x:c>
    </x:row>
    <x:row r="82" ht="87" customHeight="1">
      <x:c r="A82" s="13" t="str">
        <x:v>Reader objections</x:v>
      </x:c>
      <x:c r="B82" s="13" t="str">
        <x:v>Use appliances as a familiar labor-saving analogy, not proof that job losses are harmless or opposition never occurred.</x:v>
      </x:c>
      <x:c r="C82" s="13" t="str">
        <x:v>Keep one compact passage. Compare useful outcomes, alternatives and worker effects; no employment blueprint is demanded of the author.</x:v>
      </x:c>
    </x:row>
    <x:row r="83" ht="87" customHeight="1">
      <x:c r="A83" s="13" t="str">
        <x:v>Current artifacts</x:v>
      </x:c>
      <x:c r="B83" s="13" t="str">
        <x:v>The food-first review, author decisions, chapter brief and finite queue govern the next substantive pass.</x:v>
      </x:c>
      <x:c r="C83" s="13" t="str">
        <x:v>r002 contains only three title changes. The original PDF, closing patch and new objections passage have not been substantively applied.</x:v>
      </x:c>
    </x:row>
    <x:row r="84" ht="18" customHeight="1">
      <x:c r="A84" s="2"/>
      <x:c r="B84" s="2"/>
      <x:c r="C84" s="2"/>
    </x:row>
    <x:row r="85" ht="18" customHeight="1">
      <x:c r="A85" s="2"/>
      <x:c r="B85" s="2"/>
      <x:c r="C85" s="2"/>
    </x:row>
  </x:sheetData>
  <x:conditionalFormatting sqref="A28:A32">
    <x:cfRule type="expression" dxfId="10" priority="1">
      <x:formula>A28="Conflict"</x:formula>
    </x:cfRule>
    <x:cfRule type="expression" dxfId="11" priority="2">
      <x:formula>A28="Verify"</x:formula>
    </x:cfRule>
    <x:cfRule type="expression" dxfId="12" priority="3">
      <x:formula>A28="Develop"</x:formula>
    </x:cfRule>
    <x:cfRule type="expression" dxfId="13" priority="4">
      <x:formula>A28="Retain"</x:formula>
    </x:cfRule>
    <x:cfRule type="expression" dxfId="14" priority="5">
      <x:formula>A28="n.a."</x:formula>
    </x:cfRule>
  </x:conditionalFormatting>
  <x:conditionalFormatting sqref="A36:A38">
    <x:cfRule type="expression" dxfId="15" priority="6">
      <x:formula>A36="P0"</x:formula>
    </x:cfRule>
    <x:cfRule type="expression" dxfId="16" priority="7">
      <x:formula>A36="P1"</x:formula>
    </x:cfRule>
  </x:conditionalFormatting>
  <x:pageMargins left="0.7" right="0.7" top="0.75" bottom="0.75" header="0.3" footer="0.3"/>
</x:worksheet>
</file>

<file path=xl/worksheets/sheet5.xml><?xml version="1.0" encoding="utf-8"?>
<x:worksheet xmlns:x="http://schemas.openxmlformats.org/spreadsheetml/2006/main">
  <x:sheetPr>
    <x:tabColor rgb="FF386D68"/>
  </x:sheetPr>
  <x:sheetViews>
    <x:sheetView showGridLines="0" workbookViewId="0">
      <x:pane xSplit="4" ySplit="8" topLeftCell="E9" activePane="bottomRight" state="frozen"/>
    </x:sheetView>
  </x:sheetViews>
  <x:sheetFormatPr defaultRowHeight="15"/>
  <x:cols>
    <x:col min="1" max="1" width="7.329999923706055" hidden="0" customWidth="1"/>
    <x:col min="2" max="2" width="8" hidden="0" customWidth="1"/>
    <x:col min="3" max="3" width="6.670000076293945" hidden="0" customWidth="1"/>
    <x:col min="4" max="4" width="7.329999923706055" hidden="0" customWidth="1"/>
    <x:col min="5" max="5" width="32.220001220703125" hidden="0" customWidth="1"/>
    <x:col min="6" max="6" width="36.66999816894531" hidden="0" customWidth="1"/>
    <x:col min="7" max="7" width="45.560001373291016" hidden="0" customWidth="1"/>
    <x:col min="8" max="8" width="50.560001373291016" hidden="0" customWidth="1"/>
    <x:col min="9" max="9" width="43.33000183105469" hidden="0" customWidth="1"/>
    <x:col min="10" max="10" width="31.110000610351562" hidden="0" customWidth="1"/>
    <x:col min="11" max="11" width="27.219999313354492" hidden="0" customWidth="1"/>
    <x:col min="12" max="12" width="43.88999938964844" hidden="0" customWidth="1"/>
    <x:col min="13" max="13" width="42.779998779296875" hidden="0" customWidth="1"/>
    <x:col min="14" max="14" width="13.329999923706055" hidden="0" customWidth="1"/>
    <x:col min="15" max="15" width="31.110000610351562" hidden="0" customWidth="1"/>
    <x:col min="16" max="16" width="22.780000686645508" hidden="0" customWidth="1"/>
    <x:col min="17" max="17" width="43.33000183105469" hidden="0" customWidth="1"/>
  </x:cols>
  <x:sheetData>
    <x:row r="1" ht="18" customHeight="1">
      <x:c r="A1" s="22"/>
      <x:c r="B1" s="22"/>
      <x:c r="C1" s="22"/>
      <x:c r="D1" s="22"/>
      <x:c r="E1" s="22"/>
      <x:c r="F1" s="22"/>
      <x:c r="G1" s="22"/>
      <x:c r="H1" s="22"/>
      <x:c r="I1" s="22"/>
      <x:c r="J1" s="22"/>
      <x:c r="K1" s="22"/>
      <x:c r="L1" s="22"/>
      <x:c r="M1" s="22"/>
      <x:c r="N1" s="22"/>
      <x:c r="O1" s="22"/>
    </x:row>
    <x:row r="2" ht="27" customHeight="1">
      <x:c r="A2" s="23" t="str">
        <x:v>Passage-level editorial review</x:v>
      </x:c>
      <x:c r="B2" s="22"/>
      <x:c r="C2" s="22"/>
      <x:c r="D2" s="22"/>
      <x:c r="E2" s="22"/>
      <x:c r="F2" s="22"/>
      <x:c r="G2" s="22"/>
      <x:c r="H2" s="22"/>
      <x:c r="I2" s="22"/>
      <x:c r="J2" s="22"/>
      <x:c r="K2" s="22"/>
      <x:c r="L2" s="22"/>
      <x:c r="M2" s="22"/>
      <x:c r="N2" s="22"/>
      <x:c r="O2" s="22"/>
    </x:row>
    <x:row r="3" ht="18" customHeight="1">
      <x:c r="A3" s="24" t="str">
        <x:v>All 155 recommendations reassessed | 55 specific treatments updated | A09–A11 | Original physical PDF pages retained</x:v>
      </x:c>
      <x:c r="B3" s="22"/>
      <x:c r="C3" s="22"/>
      <x:c r="D3" s="22"/>
      <x:c r="E3" s="22"/>
      <x:c r="F3" s="22"/>
      <x:c r="G3" s="22"/>
      <x:c r="H3" s="22"/>
      <x:c r="I3" s="22"/>
      <x:c r="J3" s="22"/>
      <x:c r="K3" s="22"/>
      <x:c r="L3" s="22"/>
      <x:c r="M3" s="22"/>
      <x:c r="N3" s="22"/>
      <x:c r="O3" s="22"/>
    </x:row>
    <x:row r="4" ht="18" customHeight="1">
      <x:c r="A4" s="24" t="str">
        <x:v>Read E–I for the edit; J–M for preservation, dependencies and evidence; P–Q for scope and responsibility. Amber decisions remain yours.</x:v>
      </x:c>
      <x:c r="B4" s="22"/>
      <x:c r="C4" s="22"/>
      <x:c r="D4" s="22"/>
      <x:c r="E4" s="22"/>
      <x:c r="F4" s="22"/>
      <x:c r="G4" s="22"/>
      <x:c r="H4" s="22"/>
      <x:c r="I4" s="22"/>
      <x:c r="J4" s="22"/>
      <x:c r="K4" s="22"/>
      <x:c r="L4" s="22"/>
      <x:c r="M4" s="22"/>
      <x:c r="N4" s="22"/>
      <x:c r="O4" s="22"/>
    </x:row>
    <x:row r="5" ht="18" customHeight="1">
      <x:c r="A5" s="22" t="str">
        <x:v>Passages</x:v>
      </x:c>
      <x:c r="B5" s="22" t="n">
        <x:f>COUNTA(A9:A163)</x:f>
        <x:v>155</x:v>
      </x:c>
      <x:c r="C5" s="22" t="str">
        <x:v>P0 rows</x:v>
      </x:c>
      <x:c r="D5" s="22" t="n">
        <x:f>COUNTIF(C9:C163,0)</x:f>
        <x:v>26</x:v>
      </x:c>
      <x:c r="E5" s="22" t="str">
        <x:v>Unreviewed passage decisions</x:v>
      </x:c>
      <x:c r="F5" s="22" t="n">
        <x:f>COUNTIF(N9:N163,"Unreviewed")</x:f>
        <x:v>155</x:v>
      </x:c>
      <x:c r="G5" s="22"/>
      <x:c r="H5" s="22"/>
      <x:c r="I5" s="22"/>
      <x:c r="J5" s="22"/>
      <x:c r="K5" s="22"/>
      <x:c r="L5" s="22"/>
      <x:c r="M5" s="22"/>
      <x:c r="N5" s="22"/>
      <x:c r="O5" s="22"/>
    </x:row>
    <x:row r="6" ht="18" customHeight="1">
      <x:c r="A6" s="22" t="str">
        <x:v>The 26 P0 rows refine five parent groups. Narrowing or removing an unsupported instruction can resolve it; institutional system design belongs to collective work.</x:v>
      </x:c>
      <x:c r="B6" s="22"/>
      <x:c r="C6" s="22"/>
      <x:c r="D6" s="22"/>
      <x:c r="E6" s="22"/>
      <x:c r="F6" s="22"/>
      <x:c r="G6" s="22"/>
      <x:c r="H6" s="22"/>
      <x:c r="I6" s="22"/>
      <x:c r="J6" s="22"/>
      <x:c r="K6" s="22"/>
      <x:c r="L6" s="22"/>
      <x:c r="M6" s="22"/>
      <x:c r="N6" s="22"/>
      <x:c r="O6" s="22"/>
    </x:row>
    <x:row r="7" ht="18" customHeight="1">
      <x:c r="A7" s="22"/>
      <x:c r="B7" s="22"/>
      <x:c r="C7" s="22"/>
      <x:c r="D7" s="22"/>
      <x:c r="E7" s="22"/>
      <x:c r="F7" s="22"/>
      <x:c r="G7" s="22"/>
      <x:c r="H7" s="22"/>
      <x:c r="I7" s="22"/>
      <x:c r="J7" s="22"/>
      <x:c r="K7" s="22"/>
      <x:c r="L7" s="22"/>
      <x:c r="M7" s="22"/>
      <x:c r="N7" s="22"/>
      <x:c r="O7" s="22"/>
    </x:row>
    <x:row r="8" ht="31.5" customHeight="1">
      <x:c r="A8" s="50" t="str">
        <x:v>ID</x:v>
      </x:c>
      <x:c r="B8" s="50" t="str">
        <x:v>Parent edit</x:v>
      </x:c>
      <x:c r="C8" s="50" t="str">
        <x:v>Priority</x:v>
      </x:c>
      <x:c r="D8" s="50" t="str">
        <x:v>PDF page</x:v>
      </x:c>
      <x:c r="E8" s="50" t="str">
        <x:v>Specific issue</x:v>
      </x:c>
      <x:c r="F8" s="50" t="str">
        <x:v>Exact source anchor¹</x:v>
      </x:c>
      <x:c r="G8" s="50" t="str">
        <x:v>Why it matters</x:v>
      </x:c>
      <x:c r="H8" s="50" t="str">
        <x:v>Recommended operation</x:v>
      </x:c>
      <x:c r="I8" s="50" t="str">
        <x:v>Proposed wording / treatment</x:v>
      </x:c>
      <x:c r="J8" s="50" t="str">
        <x:v>Preserve</x:v>
      </x:c>
      <x:c r="K8" s="50" t="str">
        <x:v>Dependent passages / decisions</x:v>
      </x:c>
      <x:c r="L8" s="50" t="str">
        <x:v>Completion test</x:v>
      </x:c>
      <x:c r="M8" s="50" t="str">
        <x:v>Evidence and research status</x:v>
      </x:c>
      <x:c r="N8" s="50" t="str">
        <x:v>Author decision</x:v>
      </x:c>
      <x:c r="O8" s="50" t="str">
        <x:v>Your notes</x:v>
      </x:c>
      <x:c r="P8" s="50" t="str">
        <x:v>Scope disposition</x:v>
      </x:c>
      <x:c r="Q8" s="50" t="str">
        <x:v>Responsibility / further work</x:v>
      </x:c>
    </x:row>
    <x:row r="9" ht="99" customHeight="1">
      <x:c r="A9" s="13" t="str">
        <x:v>P091</x:v>
      </x:c>
      <x:c r="B9" s="13" t="str">
        <x:v>E03</x:v>
      </x:c>
      <x:c r="C9" s="15" t="n">
        <x:v>1</x:v>
      </x:c>
      <x:c r="D9" s="31" t="n">
        <x:v>6</x:v>
      </x:c>
      <x:c r="E9" s="30" t="str">
        <x:v>The opening conflates components with a working service</x:v>
      </x:c>
      <x:c r="F9" s="13" t="str">
        <x:v>The pieces already exist</x:v>
      </x:c>
      <x:c r="G9" s="13" t="str">
        <x:v>The illustration and caption make food-growing and house-building robots sound ready for ordinary neighbors. Later chapters mostly assemble partial automation and human labor.</x:v>
      </x:c>
      <x:c r="H9" s="13" t="str">
        <x:v>Name the present capabilities, integration work and future forecast separately. Promise a way to investigate and prepare, not a presently complete household robot solution.</x:v>
      </x:c>
      <x:c r="I9" s="13" t="str">
        <x:v>Use the specific edit instruction; no substitute prose proposed.</x:v>
      </x:c>
      <x:c r="J9" s="13" t="str">
        <x:v>The question about renting survival and the design-brief framing.</x:v>
      </x:c>
      <x:c r="K9" s="13" t="str">
        <x:v>7, 130–134, 170–171, 254; E41</x:v>
      </x:c>
      <x:c r="L9" s="13" t="str">
        <x:v>The reader’s opening expectations match what the practical chapters actually deliver.</x:v>
      </x:c>
      <x:c r="M9" s="13" t="str">
        <x:v>Original text verified; editorial diagnosis. Research references: no external source needed for this textual comparison.</x:v>
      </x:c>
      <x:c r="N9" s="14" t="str">
        <x:v>Unreviewed</x:v>
      </x:c>
      <x:c r="O9" s="14"/>
      <x:c r="P9" s="52" t="str">
        <x:v>Refocus on mission</x:v>
      </x:c>
      <x:c r="Q9" s="52" t="str">
        <x:v>Author/editor: scope and reader invitation.</x:v>
      </x:c>
    </x:row>
    <x:row r="10" ht="99" customHeight="1">
      <x:c r="A10" s="13" t="str">
        <x:v>P001</x:v>
      </x:c>
      <x:c r="B10" s="13" t="str">
        <x:v>E01</x:v>
      </x:c>
      <x:c r="C10" s="15" t="n">
        <x:v>1</x:v>
      </x:c>
      <x:c r="D10" s="31" t="n">
        <x:v>7</x:v>
      </x:c>
      <x:c r="E10" s="30" t="str">
        <x:v>Opening timeline makes the wrong promise</x:v>
      </x:c>
      <x:c r="F10" s="13" t="str">
        <x:v>2027: recursive self-improvement ignites</x:v>
      </x:c>
      <x:c r="G10" s="13" t="str">
        <x:v>The timeline promises RSI in 2027, while the author now predicts AGI on Thanksgiving. Readers encounter the stronger claim before any qualification.</x:v>
      </x:c>
      <x:c r="H10" s="13" t="str">
        <x:v>Replace the timeline milestone with the personal AGI forecast and a separate undated RSI possibility. Revise the graphic and accessible description together.</x:v>
      </x:c>
      <x:c r="I10" s="13" t="str">
        <x:v>My personal AGI forecast: Thanksgiving 2027. Recursive improvement and widespread robotic help are separate questions.</x:v>
      </x:c>
      <x:c r="J10" s="13" t="str">
        <x:v>A memorable date and the author’s willingness to make a prediction.</x:v>
      </x:c>
      <x:c r="K10" s="13" t="str">
        <x:v>31, 254, 277–278; A01</x:v>
      </x:c>
      <x:c r="L10" s="13" t="str">
        <x:v>Opening, conclusion, appendix and graphic distinguish AGI from RSI.</x:v>
      </x:c>
      <x:c r="M10" s="13" t="str">
        <x:v>Original text verified; editorial diagnosis. Research references: S02, S21</x:v>
      </x:c>
      <x:c r="N10" s="14" t="str">
        <x:v>Unreviewed</x:v>
      </x:c>
      <x:c r="O10" s="14"/>
      <x:c r="P10" s="52" t="str">
        <x:v>Retain correction</x:v>
      </x:c>
      <x:c r="Q10" s="52" t="str">
        <x:v>Author/editor: forecast language and dependent summaries.</x:v>
      </x:c>
    </x:row>
    <x:row r="11" ht="99" customHeight="1">
      <x:c r="A11" s="13" t="str">
        <x:v>P154</x:v>
      </x:c>
      <x:c r="B11" s="13" t="str">
        <x:v>E45</x:v>
      </x:c>
      <x:c r="C11" s="15" t="n">
        <x:v>1</x:v>
      </x:c>
      <x:c r="D11" s="31" t="n">
        <x:v>7</x:v>
      </x:c>
      <x:c r="E11" s="30" t="str">
        <x:v>The first roadmap describes stages instead of reader choices</x:v>
      </x:c>
      <x:c r="F11" s="13" t="str">
        <x:v>This is the roadmap</x:v>
      </x:c>
      <x:c r="G11" s="13" t="str">
        <x:v>A reader can learn the predicted sequence without knowing what to do this week. The author’s three practices need an early entrance.</x:v>
      </x:c>
      <x:c r="H11" s="13" t="str">
        <x:v>Add a short food-first reading path near the opening and repair the three part introductions on pages 23, 74 and 137. Offer a conversation, existing project or bounded planning task before hardware ownership.</x:v>
      </x:c>
      <x:c r="I11" s="13" t="str">
        <x:v>Use the specific edit instruction; no substitute prose proposed.</x:v>
      </x:c>
      <x:c r="J11" s="13" t="str">
        <x:v>The large-scale forecast as an optional lens.</x:v>
      </x:c>
      <x:c r="K11" s="13" t="str">
        <x:v>137, 141, 254–256; A08; 23, 74, 137; A09 A10</x:v>
      </x:c>
      <x:c r="L11" s="13" t="str">
        <x:v>A reader can begin before solving governance, buying land or building independent infrastructure.</x:v>
      </x:c>
      <x:c r="M11" s="13" t="str">
        <x:v>Original text verified; editorial diagnosis. Research references: no external source needed for this textual comparison.</x:v>
      </x:c>
      <x:c r="N11" s="14" t="str">
        <x:v>Unreviewed</x:v>
      </x:c>
      <x:c r="O11" s="14"/>
      <x:c r="P11" s="52" t="str">
        <x:v>Refocus on mission</x:v>
      </x:c>
      <x:c r="Q11" s="52" t="str">
        <x:v>Author/editor: entry points and consistent framing.</x:v>
      </x:c>
    </x:row>
    <x:row r="12" ht="99" customHeight="1">
      <x:c r="A12" s="13" t="str">
        <x:v>P092</x:v>
      </x:c>
      <x:c r="B12" s="13" t="str">
        <x:v>E03</x:v>
      </x:c>
      <x:c r="C12" s="15" t="n">
        <x:v>1</x:v>
      </x:c>
      <x:c r="D12" s="31" t="n">
        <x:v>11</x:v>
      </x:c>
      <x:c r="E12" s="30" t="str">
        <x:v>Agency is overstated as complete immunity to coercion</x:v>
      </x:c>
      <x:c r="F12" s="13" t="str">
        <x:v>nothing can own your mind unless you allow it</x:v>
      </x:c>
      <x:c r="G12" s="13" t="str">
        <x:v>The sentence risks blaming people for manipulation, exhaustion or coercive circumstances, which later chapters correctly recognize as structural.</x:v>
      </x:c>
      <x:c r="H12" s="13" t="str">
        <x:v>Describe attention practices as increasing room to choose. Do not make all external influence contingent on personal permission.</x:v>
      </x:c>
      <x:c r="I12" s="13" t="str">
        <x:v>Use the specific edit instruction; no substitute prose proposed.</x:v>
      </x:c>
      <x:c r="J12" s="13" t="str">
        <x:v>Agency can be strengthened through practice.</x:v>
      </x:c>
      <x:c r="K12" s="13" t="str">
        <x:v>79, 88–90, 102–109</x:v>
      </x:c>
      <x:c r="L12" s="13" t="str">
        <x:v>The invitation to act does not erase real constraints or blame the reader for having them.</x:v>
      </x:c>
      <x:c r="M12" s="13" t="str">
        <x:v>Original text verified; editorial diagnosis. Research references: no external source needed for this textual comparison.</x:v>
      </x:c>
      <x:c r="N12" s="14" t="str">
        <x:v>Unreviewed</x:v>
      </x:c>
      <x:c r="O12" s="14"/>
      <x:c r="P12" s="52" t="str">
        <x:v>Refocus on mission</x:v>
      </x:c>
      <x:c r="Q12" s="52" t="str">
        <x:v>Author/editor: scope and reader invitation.</x:v>
      </x:c>
    </x:row>
    <x:row r="13" ht="99" customHeight="1">
      <x:c r="A13" s="13" t="str">
        <x:v>P116</x:v>
      </x:c>
      <x:c r="B13" s="13" t="str">
        <x:v>E35</x:v>
      </x:c>
      <x:c r="C13" s="15" t="n">
        <x:v>1</x:v>
      </x:c>
      <x:c r="D13" s="31" t="n">
        <x:v>12</x:v>
      </x:c>
      <x:c r="E13" s="30" t="str">
        <x:v>Reading anxiety is not proof that every concern was empty</x:v>
      </x:c>
      <x:c r="F13" s="13" t="str">
        <x:v>Precedent P-01: The Reading Rage (1790s)</x:v>
      </x:c>
      <x:c r="G13" s="13" t="str">
        <x:v>Separate anxiety about authority from actual effects on readers. A few vivid quotations cannot establish the motives or outcomes of an entire era.</x:v>
      </x:c>
      <x:c r="H13" s="13" t="str">
        <x:v>Keep changing supervision and autonomy. Check Hitchcock, Sheridan and medical claims against originals. Remove “entire generation,” “never about the books” and “protected no one” as universal conclusions. Make the modern takeaway no broader than the documented mechanism.</x:v>
      </x:c>
      <x:c r="I13" s="13" t="str">
        <x:v>Use the specific edit instruction; no substitute prose proposed.</x:v>
      </x:c>
      <x:c r="J13" s="13" t="str">
        <x:v>Changing supervision and access to ideas.</x:v>
      </x:c>
      <x:c r="K13" s="13" t="str">
        <x:v>P-01; Appendix D; associated chapter practice</x:v>
      </x:c>
      <x:c r="L13" s="13" t="str">
        <x:v>The practice asks what changed and who gained or lost; it does not translate every concern into control.</x:v>
      </x:c>
      <x:c r="M13" s="13" t="str">
        <x:v>Narrative reviewed; original-source verification remains open. See earlier historical review; primary-source verification remains open.</x:v>
      </x:c>
      <x:c r="N13" s="14" t="str">
        <x:v>Unreviewed</x:v>
      </x:c>
      <x:c r="O13" s="14"/>
      <x:c r="P13" s="52" t="str">
        <x:v>Retain correction</x:v>
      </x:c>
      <x:c r="Q13" s="52" t="str">
        <x:v>Author/editor: sourced, limited historical analogies.</x:v>
      </x:c>
    </x:row>
    <x:row r="14" ht="99" customHeight="1">
      <x:c r="A14" s="13" t="str">
        <x:v>P117</x:v>
      </x:c>
      <x:c r="B14" s="13" t="str">
        <x:v>E35</x:v>
      </x:c>
      <x:c r="C14" s="15" t="n">
        <x:v>1</x:v>
      </x:c>
      <x:c r="D14" s="31" t="n">
        <x:v>21</x:v>
      </x:c>
      <x:c r="E14" s="30" t="str">
        <x:v>A misunderstood invention is not proof of inevitable adoption</x:v>
      </x:c>
      <x:c r="F14" s="13" t="str">
        <x:v>Precedent P-02: The Toy at the Fair (Philadelphia, 1876)</x:v>
      </x:c>
      <x:c r="G14" s="13" t="str">
        <x:v>Novel demonstrations can be undervalued, but anecdotes about skeptical spectators cannot establish near-universal disbelief or eventual success for every new tool.</x:v>
      </x:c>
      <x:c r="H14" s="13" t="str">
        <x:v>Different observers value different uses. Verify machinery specifications, Kelvin and the Western Union story. “Almost nobody else agreed” needs evidence beyond a memorable anecdote. Make the modern takeaway no broader than the documented mechanism.</x:v>
      </x:c>
      <x:c r="I14" s="13" t="str">
        <x:v>Use the specific edit instruction; no substitute prose proposed.</x:v>
      </x:c>
      <x:c r="J14" s="13" t="str">
        <x:v>Different people notice different uses.</x:v>
      </x:c>
      <x:c r="K14" s="13" t="str">
        <x:v>P-02; Appendix D; associated chapter practice</x:v>
      </x:c>
      <x:c r="L14" s="13" t="str">
        <x:v>The case supports trying tools, not dismissing every skeptical evaluation.</x:v>
      </x:c>
      <x:c r="M14" s="13" t="str">
        <x:v>Narrative reviewed; original-source verification remains open. See earlier historical review; primary-source verification remains open.</x:v>
      </x:c>
      <x:c r="N14" s="14" t="str">
        <x:v>Unreviewed</x:v>
      </x:c>
      <x:c r="O14" s="14"/>
      <x:c r="P14" s="52" t="str">
        <x:v>Retain correction</x:v>
      </x:c>
      <x:c r="Q14" s="52" t="str">
        <x:v>Author/editor: sourced, limited historical analogies.</x:v>
      </x:c>
    </x:row>
    <x:row r="15" ht="99" customHeight="1">
      <x:c r="A15" s="13" t="str">
        <x:v>P002</x:v>
      </x:c>
      <x:c r="B15" s="13" t="str">
        <x:v>E01</x:v>
      </x:c>
      <x:c r="C15" s="15" t="n">
        <x:v>1</x:v>
      </x:c>
      <x:c r="D15" s="31" t="n">
        <x:v>31</x:v>
      </x:c>
      <x:c r="E15" s="30" t="str">
        <x:v>Economic definition cannot also serve as an AGI test</x:v>
      </x:c>
      <x:c r="F15" s="13" t="str">
        <x:v>intelligence stops being scarce</x:v>
      </x:c>
      <x:c r="G15" s="13" t="str">
        <x:v>Scarcity is an access and price condition, whereas general capability is a property of a system. One can arrive without the other.</x:v>
      </x:c>
      <x:c r="H15" s="13" t="str">
        <x:v>Define AGI, RSI and economic diffusion separately. Give the personal forecast one observable capability description without inventing an industry consensus.</x:v>
      </x:c>
      <x:c r="I15" s="13" t="str">
        <x:v>Use the specific edit instruction; no substitute prose proposed.</x:v>
      </x:c>
      <x:c r="J15" s="13" t="str">
        <x:v>Institutional consequences of cheaper intelligence.</x:v>
      </x:c>
      <x:c r="K15" s="13" t="str">
        <x:v>7, 45, 149, 254, Appendix C</x:v>
      </x:c>
      <x:c r="L15" s="13" t="str">
        <x:v>A capable but expensive system can be classified without contradicting the glossary.</x:v>
      </x:c>
      <x:c r="M15" s="13" t="str">
        <x:v>Original text verified; editorial diagnosis. Research references: S02, S21</x:v>
      </x:c>
      <x:c r="N15" s="14" t="str">
        <x:v>Unreviewed</x:v>
      </x:c>
      <x:c r="O15" s="14"/>
      <x:c r="P15" s="52" t="str">
        <x:v>Retain correction</x:v>
      </x:c>
      <x:c r="Q15" s="52" t="str">
        <x:v>Author/editor: forecast language and dependent summaries.</x:v>
      </x:c>
    </x:row>
    <x:row r="16" ht="99" customHeight="1">
      <x:c r="A16" s="13" t="str">
        <x:v>P146</x:v>
      </x:c>
      <x:c r="B16" s="13" t="str">
        <x:v>E12</x:v>
      </x:c>
      <x:c r="C16" s="15" t="n">
        <x:v>1</x:v>
      </x:c>
      <x:c r="D16" s="31" t="n">
        <x:v>33</x:v>
      </x:c>
      <x:c r="E16" s="30" t="str">
        <x:v>Transformer parallelism is made proof of recursive self-improvement</x:v>
      </x:c>
      <x:c r="F16" s="13" t="str">
        <x:v>grants the model the ability to process its own structure</x:v>
      </x:c>
      <x:c r="G16" s="13" t="str">
        <x:v>The architecture and translation benchmarks do not themselves demonstrate autonomous self-modification, successful evaluation or an intelligence explosion.</x:v>
      </x:c>
      <x:c r="H16" s="13" t="str">
        <x:v>Keep the documented architecture result; make the additional steps toward self-improvement explicit and separately sourced.</x:v>
      </x:c>
      <x:c r="I16" s="13" t="str">
        <x:v>Use the specific edit instruction; no substitute prose proposed.</x:v>
      </x:c>
      <x:c r="J16" s="13" t="str">
        <x:v>The significance of the Transformer breakthrough.</x:v>
      </x:c>
      <x:c r="K16" s="13" t="str">
        <x:v>31, 34, 49–51, 254; S01</x:v>
      </x:c>
      <x:c r="L16" s="13" t="str">
        <x:v>Each technical source supports the specific achievement attributed to it, without certifying the forecast.</x:v>
      </x:c>
      <x:c r="M16" s="13" t="str">
        <x:v>Original text verified; editorial diagnosis. Research references: S01, S03</x:v>
      </x:c>
      <x:c r="N16" s="14" t="str">
        <x:v>Unreviewed</x:v>
      </x:c>
      <x:c r="O16" s="14"/>
      <x:c r="P16" s="52" t="str">
        <x:v>Retain correction</x:v>
      </x:c>
      <x:c r="Q16" s="52" t="str">
        <x:v>Author/editor: accurate claim-to-source matching.</x:v>
      </x:c>
    </x:row>
    <x:row r="17" ht="99" customHeight="1">
      <x:c r="A17" s="13" t="str">
        <x:v>P147</x:v>
      </x:c>
      <x:c r="B17" s="13" t="str">
        <x:v>E12</x:v>
      </x:c>
      <x:c r="C17" s="15" t="n">
        <x:v>1</x:v>
      </x:c>
      <x:c r="D17" s="31" t="n">
        <x:v>34</x:v>
      </x:c>
      <x:c r="E17" s="30" t="str">
        <x:v>A biological experiment is promoted to a whole-system efficiency result</x:v>
      </x:c>
      <x:c r="F17" s="13" t="str">
        <x:v>tiny fraction of the power</x:v>
      </x:c>
      <x:c r="G17" s="13" t="str">
        <x:v>Task learning, sample efficiency and the total energy cost of a maintained biological computing system are different measures.</x:v>
      </x:c>
      <x:c r="H17" s="13" t="str">
        <x:v>State the task, comparison conditions and system boundary. Remove whole-system efficiency and general-intelligence implications that the cited experiment does not establish.</x:v>
      </x:c>
      <x:c r="I17" s="13" t="str">
        <x:v>Use the specific edit instruction; no substitute prose proposed.</x:v>
      </x:c>
      <x:c r="J17" s="13" t="str">
        <x:v>Interesting alternative computing research.</x:v>
      </x:c>
      <x:c r="K17" s="13" t="str">
        <x:v>33–34, 79, 246; S03</x:v>
      </x:c>
      <x:c r="L17" s="13" t="str">
        <x:v>The claim does not extrapolate from simplified Pong to a general, deployable low-energy intelligence.</x:v>
      </x:c>
      <x:c r="M17" s="13" t="str">
        <x:v>Original text verified; editorial diagnosis. Research references: S01, S03</x:v>
      </x:c>
      <x:c r="N17" s="14" t="str">
        <x:v>Unreviewed</x:v>
      </x:c>
      <x:c r="O17" s="14"/>
      <x:c r="P17" s="52" t="str">
        <x:v>Retain correction</x:v>
      </x:c>
      <x:c r="Q17" s="52" t="str">
        <x:v>Author/editor: accurate claim-to-source matching.</x:v>
      </x:c>
    </x:row>
    <x:row r="18" ht="99" customHeight="1">
      <x:c r="A18" s="13" t="str">
        <x:v>P148</x:v>
      </x:c>
      <x:c r="B18" s="13" t="str">
        <x:v>E01</x:v>
      </x:c>
      <x:c r="C18" s="15" t="n">
        <x:v>1</x:v>
      </x:c>
      <x:c r="D18" s="31" t="n">
        <x:v>34</x:v>
      </x:c>
      <x:c r="E18" s="30" t="str">
        <x:v>The forecast is described as a result of a calculation</x:v>
      </x:c>
      <x:c r="F18" s="13" t="str">
        <x:v>mathematically and analytically anchored</x:v>
      </x:c>
      <x:c r="G18" s="13" t="str">
        <x:v>The chapter supplies no derivation that entails the 2027 date. This conflicts with the author’s explicitly personal, unpredictable Thanksgiving prediction.</x:v>
      </x:c>
      <x:c r="H18" s="13" t="str">
        <x:v>Replace mathematical anchoring with personal judgment. Explain which observations inform the view without claiming that they determine a date.</x:v>
      </x:c>
      <x:c r="I18" s="13" t="str">
        <x:v>Use the specific edit instruction; no substitute prose proposed.</x:v>
      </x:c>
      <x:c r="J18" s="13" t="str">
        <x:v>The author’s conviction and named forecast.</x:v>
      </x:c>
      <x:c r="K18" s="13" t="str">
        <x:v>7, 31, 254, 277–278</x:v>
      </x:c>
      <x:c r="L18" s="13" t="str">
        <x:v>No technical paper or trend line is presented as proving Thanksgiving 2027.</x:v>
      </x:c>
      <x:c r="M18" s="13" t="str">
        <x:v>Original text verified; editorial diagnosis. Research references: S02, S21</x:v>
      </x:c>
      <x:c r="N18" s="14" t="str">
        <x:v>Unreviewed</x:v>
      </x:c>
      <x:c r="O18" s="14"/>
      <x:c r="P18" s="52" t="str">
        <x:v>Retain correction</x:v>
      </x:c>
      <x:c r="Q18" s="52" t="str">
        <x:v>Author/editor: forecast language and dependent summaries.</x:v>
      </x:c>
    </x:row>
    <x:row r="19" ht="99" customHeight="1">
      <x:c r="A19" s="13" t="str">
        <x:v>P118</x:v>
      </x:c>
      <x:c r="B19" s="13" t="str">
        <x:v>E35</x:v>
      </x:c>
      <x:c r="C19" s="15" t="n">
        <x:v>1</x:v>
      </x:c>
      <x:c r="D19" s="31" t="n">
        <x:v>37</x:v>
      </x:c>
      <x:c r="E19" s="30" t="str">
        <x:v>A failed aviation forecast establishes fallibility, not direction</x:v>
      </x:c>
      <x:c r="F19" s="13" t="str">
        <x:v>Precedent P-03: One Million Years, Give or Take (New York, 1903)</x:v>
      </x:c>
      <x:c r="G19" s="13" t="str">
        <x:v>One spectacular pessimistic error does not show forecasts generally err pessimistically, nor calibrate the author’s AGI date.</x:v>
      </x:c>
      <x:c r="H19" s="13" t="str">
        <x:v>Verify the original editorial and dates. A spectacular forecasting error illustrates fallibility, not that forecasts consistently err toward pessimism. Recalculate or remove the million-fold comparison. Make the modern takeaway no broader than the documented mechanism.</x:v>
      </x:c>
      <x:c r="I19" s="13" t="str">
        <x:v>Use the specific edit instruction; no substitute prose proposed.</x:v>
      </x:c>
      <x:c r="J19" s="13" t="str">
        <x:v>Humility about forecasting.</x:v>
      </x:c>
      <x:c r="K19" s="13" t="str">
        <x:v>P-03; Appendix D; associated chapter practice</x:v>
      </x:c>
      <x:c r="L19" s="13" t="str">
        <x:v>The takeaway admits overoptimistic forecasts can fail too.</x:v>
      </x:c>
      <x:c r="M19" s="13" t="str">
        <x:v>Narrative reviewed; original-source verification remains open. See earlier historical review; primary-source verification remains open.</x:v>
      </x:c>
      <x:c r="N19" s="14" t="str">
        <x:v>Unreviewed</x:v>
      </x:c>
      <x:c r="O19" s="14"/>
      <x:c r="P19" s="52" t="str">
        <x:v>Retain correction</x:v>
      </x:c>
      <x:c r="Q19" s="52" t="str">
        <x:v>Author/editor: sourced, limited historical analogies.</x:v>
      </x:c>
    </x:row>
    <x:row r="20" ht="99" customHeight="1">
      <x:c r="A20" s="13" t="str">
        <x:v>P003</x:v>
      </x:c>
      <x:c r="B20" s="13" t="str">
        <x:v>E02</x:v>
      </x:c>
      <x:c r="C20" s="15" t="n">
        <x:v>1</x:v>
      </x:c>
      <x:c r="D20" s="31" t="n">
        <x:v>41</x:v>
      </x:c>
      <x:c r="E20" s="30" t="str">
        <x:v>Prediction turns into a natural law</x:v>
      </x:c>
      <x:c r="F20" s="13" t="str">
        <x:v>everything after it followed the way weather follows pressure</x:v>
      </x:c>
      <x:c r="G20" s="13" t="str">
        <x:v>The same scene calls the stages predictions, then narrates them as mechanically compelled. This changes the reader’s evidentiary contract mid-paragraph.</x:v>
      </x:c>
      <x:c r="H20" s="13" t="str">
        <x:v>Keep the notebook as Elijah’s forecast. Change the weather analogy so it describes his felt conviction, not the narrator’s endorsement.</x:v>
      </x:c>
      <x:c r="I20" s="13" t="str">
        <x:v>Use the specific edit instruction; no substitute prose proposed.</x:v>
      </x:c>
      <x:c r="J20" s="13" t="str">
        <x:v>The unsettling all-hands scene and the dated notebook.</x:v>
      </x:c>
      <x:c r="K20" s="13" t="str">
        <x:v>31, 56–58, 277–278</x:v>
      </x:c>
      <x:c r="L20" s="13" t="str">
        <x:v>The scene and stage exposition clearly share scenario status.</x:v>
      </x:c>
      <x:c r="M20" s="13" t="str">
        <x:v>Original text verified; editorial diagnosis. Research references: S04, S05</x:v>
      </x:c>
      <x:c r="N20" s="14" t="str">
        <x:v>Unreviewed</x:v>
      </x:c>
      <x:c r="O20" s="14"/>
      <x:c r="P20" s="52" t="str">
        <x:v>Defer broader horizon</x:v>
      </x:c>
      <x:c r="Q20" s="52" t="str">
        <x:v>Author/editor: distinguish scenario from actionable premise.</x:v>
      </x:c>
    </x:row>
    <x:row r="21" ht="99" customHeight="1">
      <x:c r="A21" s="13" t="str">
        <x:v>P004</x:v>
      </x:c>
      <x:c r="B21" s="13" t="str">
        <x:v>E04</x:v>
      </x:c>
      <x:c r="C21" s="15" t="n">
        <x:v>1</x:v>
      </x:c>
      <x:c r="D21" s="31" t="n">
        <x:v>41</x:v>
      </x:c>
      <x:c r="E21" s="30" t="str">
        <x:v>A universal claim erases the book’s heroes</x:v>
      </x:c>
      <x:c r="F21" s="13" t="str">
        <x:v>It’s never about helping the neighbor</x:v>
      </x:c>
      <x:c r="G21" s="13" t="str">
        <x:v>The book’s mutual-aid argument depends on people wanting to help neighbors. This absolute denies that motive at the outset.</x:v>
      </x:c>
      <x:c r="H21" s="13" t="str">
        <x:v>Describe the incentive to monetize without declaring that all users or builders are exclusively selfish.</x:v>
      </x:c>
      <x:c r="I21" s="13" t="str">
        <x:v>The first commercial question is often how to monetize it. That is not the only question people ask.</x:v>
      </x:c>
      <x:c r="J21" s="13" t="str">
        <x:v>Critique of extractive business incentives.</x:v>
      </x:c>
      <x:c r="K21" s="13" t="str">
        <x:v>90, 140–141, 170–171; A03</x:v>
      </x:c>
      <x:c r="L21" s="13" t="str">
        <x:v>A caring inventor or ordinary helpful user is no longer a counterexample to the sentence.</x:v>
      </x:c>
      <x:c r="M21" s="13" t="str">
        <x:v>Original text verified; editorial diagnosis. Research references: no external source needed for this textual comparison.</x:v>
      </x:c>
      <x:c r="N21" s="14" t="str">
        <x:v>Unreviewed</x:v>
      </x:c>
      <x:c r="O21" s="14"/>
      <x:c r="P21" s="52" t="str">
        <x:v>Retain correction</x:v>
      </x:c>
      <x:c r="Q21" s="52" t="str">
        <x:v>Author/editor: fair characterization consistent with open discussion.</x:v>
      </x:c>
    </x:row>
    <x:row r="22" ht="99" customHeight="1">
      <x:c r="A22" s="13" t="str">
        <x:v>P005</x:v>
      </x:c>
      <x:c r="B22" s="13" t="str">
        <x:v>E04</x:v>
      </x:c>
      <x:c r="C22" s="15" t="n">
        <x:v>1</x:v>
      </x:c>
      <x:c r="D22" s="31" t="n">
        <x:v>42</x:v>
      </x:c>
      <x:c r="E22" s="30" t="str">
        <x:v>Biological shorthand substitutes for an argument</x:v>
      </x:c>
      <x:c r="F22" s="13" t="str">
        <x:v>entirely from the lizard brain</x:v>
      </x:c>
      <x:c r="G22" s="13" t="str">
        <x:v>The phrase is used to explain whole populations and settles motives without evidence. It makes disagreement look like neurological inferiority.</x:v>
      </x:c>
      <x:c r="H22" s="13" t="str">
        <x:v>Use concrete motives: income loss, uncertainty, status, control, privacy or safety. Retain an occasional character-level metaphor, not a universal diagnosis.</x:v>
      </x:c>
      <x:c r="I22" s="13" t="str">
        <x:v>Use the specific edit instruction; no substitute prose proposed.</x:v>
      </x:c>
      <x:c r="J22" s="13" t="str">
        <x:v>Direct, colloquial voice.</x:v>
      </x:c>
      <x:c r="K22" s="13" t="str">
        <x:v>43, 45–46, 52, 69, 83–85</x:v>
      </x:c>
      <x:c r="L22" s="13" t="str">
        <x:v>Each criticized action is separated from an unsupported claim about everyone’s mind.</x:v>
      </x:c>
      <x:c r="M22" s="13" t="str">
        <x:v>Original text verified; editorial diagnosis. Research references: no external source needed for this textual comparison.</x:v>
      </x:c>
      <x:c r="N22" s="14" t="str">
        <x:v>Unreviewed</x:v>
      </x:c>
      <x:c r="O22" s="14"/>
      <x:c r="P22" s="52" t="str">
        <x:v>Retain correction</x:v>
      </x:c>
      <x:c r="Q22" s="52" t="str">
        <x:v>Author/editor: fair characterization consistent with open discussion.</x:v>
      </x:c>
    </x:row>
    <x:row r="23" ht="99" customHeight="1">
      <x:c r="A23" s="13" t="str">
        <x:v>P006</x:v>
      </x:c>
      <x:c r="B23" s="13" t="str">
        <x:v>E06</x:v>
      </x:c>
      <x:c r="C23" s="15" t="n">
        <x:v>1</x:v>
      </x:c>
      <x:c r="D23" s="31" t="n">
        <x:v>42</x:v>
      </x:c>
      <x:c r="E23" s="30" t="str">
        <x:v>Cheaper intelligence does not automatically dissolve monopoly</x:v>
      </x:c>
      <x:c r="F23" s="13" t="str">
        <x:v>monopolies</x:v>
      </x:c>
      <x:c r="G23" s="13" t="str">
        <x:v>The price of inference is only one source of market power. The later land, energy and ownership chapters already describe scarce complements.</x:v>
      </x:c>
      <x:c r="H23" s="13" t="str">
        <x:v>Add the missing condition: competition depends on control of hardware, energy, distribution, land and permissions as well as models.</x:v>
      </x:c>
      <x:c r="I23" s="13" t="str">
        <x:v>Use the specific edit instruction; no substitute prose proposed.</x:v>
      </x:c>
      <x:c r="J23" s="13" t="str">
        <x:v>The possibility that lower costs widen bargaining power.</x:v>
      </x:c>
      <x:c r="K23" s="13" t="str">
        <x:v>45, 149, 165, 257–261; A04</x:v>
      </x:c>
      <x:c r="L23" s="13" t="str">
        <x:v>The argument works even if model prices fall while robot ownership stays concentrated.</x:v>
      </x:c>
      <x:c r="M23" s="13" t="str">
        <x:v>Original text verified; editorial diagnosis. Research references: no external source needed for this textual comparison.</x:v>
      </x:c>
      <x:c r="N23" s="14" t="str">
        <x:v>Unreviewed</x:v>
      </x:c>
      <x:c r="O23" s="14"/>
      <x:c r="P23" s="52" t="str">
        <x:v>Redirect collective design</x:v>
      </x:c>
      <x:c r="Q23" s="52" t="str">
        <x:v>Author/editor: accurate framing. Institutions, specialists and affected public: governance design and decisions.</x:v>
      </x:c>
    </x:row>
    <x:row r="24" ht="99" customHeight="1">
      <x:c r="A24" s="13" t="str">
        <x:v>P007</x:v>
      </x:c>
      <x:c r="B24" s="13" t="str">
        <x:v>E41</x:v>
      </x:c>
      <x:c r="C24" s="15" t="n">
        <x:v>1</x:v>
      </x:c>
      <x:c r="D24" s="31" t="n">
        <x:v>42</x:v>
      </x:c>
      <x:c r="E24" s="30" t="str">
        <x:v>A current event needs names, dates and a later-status check</x:v>
      </x:c>
      <x:c r="F24" s="13" t="str">
        <x:v>June 2026</x:v>
      </x:c>
      <x:c r="G24" s="13" t="str">
        <x:v>An unnamed export-control episode is used as proof of a general stage. The June event has corroborating reporting, but omission of subsequent restoration can freeze the story at its most dramatic point.</x:v>
      </x:c>
      <x:c r="H24" s="13" t="str">
        <x:v>Name the company, models and directive date; verify the primary chronology and add the restoration outcome. Do not mark the event invented or fully sourced from a search snippet.</x:v>
      </x:c>
      <x:c r="I24" s="13" t="str">
        <x:v>Use the specific edit instruction; no substitute prose proposed.</x:v>
      </x:c>
      <x:c r="J24" s="13" t="str">
        <x:v>A concrete example of access dependence on providers and policy.</x:v>
      </x:c>
      <x:c r="K24" s="13" t="str">
        <x:v>43; bibliography; forecast audit</x:v>
      </x:c>
      <x:c r="L24" s="13" t="str">
        <x:v>Dated primary evidence supports both restriction and subsequent status; the inference is separately labeled.</x:v>
      </x:c>
      <x:c r="M24" s="13" t="str">
        <x:v>N03 congressional letter search-index corroboration; N04 company announcement search-index corroboration. Both full opens returned 403. Primary-document verification remains open.</x:v>
      </x:c>
      <x:c r="N24" s="14" t="str">
        <x:v>Unreviewed</x:v>
      </x:c>
      <x:c r="O24" s="14"/>
      <x:c r="P24" s="52" t="str">
        <x:v>Retain correction</x:v>
      </x:c>
      <x:c r="Q24" s="52" t="str">
        <x:v>Author/editor: dated source matching; no requirement to reproduce every frontier system.</x:v>
      </x:c>
    </x:row>
    <x:row r="25" ht="99" customHeight="1">
      <x:c r="A25" s="13" t="str">
        <x:v>P008</x:v>
      </x:c>
      <x:c r="B25" s="13" t="str">
        <x:v>E41</x:v>
      </x:c>
      <x:c r="C25" s="15" t="n">
        <x:v>1</x:v>
      </x:c>
      <x:c r="D25" s="31" t="n">
        <x:v>43</x:v>
      </x:c>
      <x:c r="E25" s="30" t="str">
        <x:v>The model is identified; the stronger claims still need evidence</x:v>
      </x:c>
      <x:c r="F25" s="13" t="str">
        <x:v>MIT</x:v>
      </x:c>
      <x:c r="G25" s="13" t="str">
        <x:v>The earlier review missed Appendix B page 271, which names Z.ai GLM-5.2. Its official card identifies the model and MIT license. Those facts do not establish domestic-chip training, exact release chronology or equivalence to the restricted model on the asserted task.</x:v>
      </x:c>
      <x:c r="H25" s="13" t="str">
        <x:v>Use the existing GLM-5.2 identity and cite its primary model card. Verify or narrow the separate hardware, release and capability claims. Attribute publisher benchmarks.</x:v>
      </x:c>
      <x:c r="I25" s="13" t="str">
        <x:v>Appendix B names Z.ai GLM-5.2. Its official model card establishes identity and licensing; comparisons need their own task-specific evidence.</x:v>
      </x:c>
      <x:c r="J25" s="13" t="str">
        <x:v>The point that technological capability can diffuse across borders.</x:v>
      </x:c>
      <x:c r="K25" s="13" t="str">
        <x:v>271; E41; N07</x:v>
      </x:c>
      <x:c r="L25" s="13" t="str">
        <x:v>Identity is no longer marked missing; each stronger claim has its own direct evidence or is narrowed/removed.</x:v>
      </x:c>
      <x:c r="M25" s="13" t="str">
        <x:v>Original pp. 43 and 271 checked. N07 primary model card opened September 21, 2026. Identity and MIT license verified; other claims remain separate.</x:v>
      </x:c>
      <x:c r="N25" s="14" t="str">
        <x:v>Unreviewed</x:v>
      </x:c>
      <x:c r="O25" s="14"/>
      <x:c r="P25" s="52" t="str">
        <x:v>Retain correction</x:v>
      </x:c>
      <x:c r="Q25" s="52" t="str">
        <x:v>Author/editor: dated source matching; no requirement to reproduce every frontier system.</x:v>
      </x:c>
    </x:row>
    <x:row r="26" ht="99" customHeight="1">
      <x:c r="A26" s="13" t="str">
        <x:v>P009</x:v>
      </x:c>
      <x:c r="B26" s="13" t="str">
        <x:v>E04</x:v>
      </x:c>
      <x:c r="C26" s="15" t="n">
        <x:v>1</x:v>
      </x:c>
      <x:c r="D26" s="31" t="n">
        <x:v>43</x:v>
      </x:c>
      <x:c r="E26" s="30" t="str">
        <x:v>Movement-wide motive attribution weakens the criticism</x:v>
      </x:c>
      <x:c r="F26" s="13" t="str">
        <x:v>Pause</x:v>
      </x:c>
      <x:c r="G26" s="13" t="str">
        <x:v>Treating every participant as a grifter turns a policy disagreement into mind-reading and conflicts with curiosity as the reader’s first practice.</x:v>
      </x:c>
      <x:c r="H26" s="13" t="str">
        <x:v>Critique a named proposal and its likely effects; acknowledge that sincere risk concern and harmful policy can coexist.</x:v>
      </x:c>
      <x:c r="I26" s="13" t="str">
        <x:v>Use the specific edit instruction; no substitute prose proposed.</x:v>
      </x:c>
      <x:c r="J26" s="13" t="str">
        <x:v>Strong disagreement with measures the author believes entrench incumbents.</x:v>
      </x:c>
      <x:c r="K26" s="13" t="str">
        <x:v>83–90, 255–256; A08</x:v>
      </x:c>
      <x:c r="L26" s="13" t="str">
        <x:v>The paragraph can be answered on evidence and policy rather than disputed private motives.</x:v>
      </x:c>
      <x:c r="M26" s="13" t="str">
        <x:v>Original text verified; editorial diagnosis. Research references: no external source needed for this textual comparison.</x:v>
      </x:c>
      <x:c r="N26" s="14" t="str">
        <x:v>Unreviewed</x:v>
      </x:c>
      <x:c r="O26" s="14"/>
      <x:c r="P26" s="52" t="str">
        <x:v>Retain correction</x:v>
      </x:c>
      <x:c r="Q26" s="52" t="str">
        <x:v>Author/editor: fair characterization consistent with open discussion.</x:v>
      </x:c>
    </x:row>
    <x:row r="27" ht="99" customHeight="1">
      <x:c r="A27" s="13" t="str">
        <x:v>P010</x:v>
      </x:c>
      <x:c r="B27" s="13" t="str">
        <x:v>E39</x:v>
      </x:c>
      <x:c r="C27" s="15" t="n">
        <x:v>1</x:v>
      </x:c>
      <x:c r="D27" s="31" t="n">
        <x:v>43</x:v>
      </x:c>
      <x:c r="E27" s="30" t="str">
        <x:v>The cyberwar scenario is presented as an expected sequence</x:v>
      </x:c>
      <x:c r="F27" s="13" t="str">
        <x:v>World War</x:v>
      </x:c>
      <x:c r="G27" s="13" t="str">
        <x:v>The threat may be worth planning for, but announcing a specific global conflict exceeds the book’s evidence and shifts the emotional center toward inevitability.</x:v>
      </x:c>
      <x:c r="H27" s="13" t="str">
        <x:v>Move or cross-reference it into the bounded threats discussion. State the mechanism, uncertainties, practical preparation and reasons it might not happen.</x:v>
      </x:c>
      <x:c r="I27" s="13" t="str">
        <x:v>Use the specific edit instruction; no substitute prose proposed.</x:v>
      </x:c>
      <x:c r="J27" s="13" t="str">
        <x:v>Recognition that infrastructure and access can be disrupted.</x:v>
      </x:c>
      <x:c r="K27" s="13" t="str">
        <x:v>44, 65, 243–250; proposed Fear Is Not a Plan</x:v>
      </x:c>
      <x:c r="L27" s="13" t="str">
        <x:v>The scenario has a proportionate response and is not needed to make the whole book’s plan worthwhile.</x:v>
      </x:c>
      <x:c r="M27" s="13" t="str">
        <x:v>Original text verified; editorial diagnosis. Research references: no external source needed for this textual comparison.</x:v>
      </x:c>
      <x:c r="N27" s="14" t="str">
        <x:v>Unreviewed</x:v>
      </x:c>
      <x:c r="O27" s="14"/>
      <x:c r="P27" s="52" t="str">
        <x:v>Redirect collective design</x:v>
      </x:c>
      <x:c r="Q27" s="52" t="str">
        <x:v>Author/editor: fair scope. Relevant institutions and affected public: systemic responses.</x:v>
      </x:c>
    </x:row>
    <x:row r="28" ht="99" customHeight="1">
      <x:c r="A28" s="13" t="str">
        <x:v>P011</x:v>
      </x:c>
      <x:c r="B28" s="13" t="str">
        <x:v>E06</x:v>
      </x:c>
      <x:c r="C28" s="15" t="n">
        <x:v>1</x:v>
      </x:c>
      <x:c r="D28" s="31" t="n">
        <x:v>44</x:v>
      </x:c>
      <x:c r="E28" s="30" t="str">
        <x:v>Engineering competence is not a mandate to govern</x:v>
      </x:c>
      <x:c r="F28" s="13" t="str">
        <x:v>take the wheel</x:v>
      </x:c>
      <x:c r="G28" s="13" t="str">
        <x:v>Restoring a network demonstrates technical competence; it does not establish consent to rule or fair allocation of essentials.</x:v>
      </x:c>
      <x:c r="H28" s="13" t="str">
        <x:v>Remove the implication that technical competence confers a governing mandate. Invite informed specialists and affected people to decide arrangements together; a fictional operator role need not become a universal political model.</x:v>
      </x:c>
      <x:c r="I28" s="13" t="str">
        <x:v>Technical expertise can inform decisions. The authority to make them needs the participation of the people affected.</x:v>
      </x:c>
      <x:c r="J28" s="13" t="str">
        <x:v>Operators restoring services during a crisis.</x:v>
      </x:c>
      <x:c r="K28" s="13" t="str">
        <x:v>90, 113, 121–122, 244, 259</x:v>
      </x:c>
      <x:c r="L28" s="13" t="str">
        <x:v>The author identifies collective decision work without claiming to have designed legitimate governance.</x:v>
      </x:c>
      <x:c r="M28" s="13" t="str">
        <x:v>Original text verified; editorial diagnosis. Research references: no external source needed for this textual comparison.</x:v>
      </x:c>
      <x:c r="N28" s="14" t="str">
        <x:v>Unreviewed</x:v>
      </x:c>
      <x:c r="O28" s="14"/>
      <x:c r="P28" s="52" t="str">
        <x:v>Redirect collective design</x:v>
      </x:c>
      <x:c r="Q28" s="52" t="str">
        <x:v>Author/editor: accurate framing. Institutions, specialists and affected public: governance design and decisions.</x:v>
      </x:c>
    </x:row>
    <x:row r="29" ht="99" customHeight="1">
      <x:c r="A29" s="13" t="str">
        <x:v>P012</x:v>
      </x:c>
      <x:c r="B29" s="13" t="str">
        <x:v>E06</x:v>
      </x:c>
      <x:c r="C29" s="15" t="n">
        <x:v>1</x:v>
      </x:c>
      <x:c r="D29" s="31" t="n">
        <x:v>45</x:v>
      </x:c>
      <x:c r="E29" s="30" t="str">
        <x:v>Autonomy does not settle ownership or allocation</x:v>
      </x:c>
      <x:c r="F29" s="13" t="str">
        <x:v>The robots will just do stuff</x:v>
      </x:c>
      <x:c r="G29" s="13" t="str">
        <x:v>A robot choosing actions still has hardware, access controls, resources and an owner or governing body. Dismissing the ownership objection breaks the later commons argument.</x:v>
      </x:c>
      <x:c r="H29" s="13" t="str">
        <x:v>Give one illustrative shared-service access route and name its assumptions. Keep ownership and allocation as questions for public and institutional work rather than treating autonomy as their solution.</x:v>
      </x:c>
      <x:c r="I29" s="13" t="str">
        <x:v>Treatment recommendation: Give one illustrative shared-service access route and name its assumptions. Keep ownership and allocation as questions for public and institutional work rather than treating autonomy as their solution.</x:v>
      </x:c>
      <x:c r="J29" s="13" t="str">
        <x:v>The ordinary appeal of relief from chores.</x:v>
      </x:c>
      <x:c r="K29" s="13" t="str">
        <x:v>149–162, 165, 170–171; A04–A05</x:v>
      </x:c>
      <x:c r="L29" s="13" t="str">
        <x:v>The example makes receiving help intelligible without pretending ownership and provision are already settled.</x:v>
      </x:c>
      <x:c r="M29" s="13" t="str">
        <x:v>Original text verified; editorial diagnosis. Research references: no external source needed for this textual comparison.</x:v>
      </x:c>
      <x:c r="N29" s="14" t="str">
        <x:v>Unreviewed</x:v>
      </x:c>
      <x:c r="O29" s="14"/>
      <x:c r="P29" s="52" t="str">
        <x:v>Redirect collective design</x:v>
      </x:c>
      <x:c r="Q29" s="52" t="str">
        <x:v>Author/editor: accurate framing. Institutions, specialists and affected public: governance design and decisions.</x:v>
      </x:c>
    </x:row>
    <x:row r="30" ht="99" customHeight="1">
      <x:c r="A30" s="13" t="str">
        <x:v>P013</x:v>
      </x:c>
      <x:c r="B30" s="13" t="str">
        <x:v>E04</x:v>
      </x:c>
      <x:c r="C30" s="15" t="n">
        <x:v>1</x:v>
      </x:c>
      <x:c r="D30" s="31" t="n">
        <x:v>45</x:v>
      </x:c>
      <x:c r="E30" s="30" t="str">
        <x:v>Refusal of a robot is treated as dishonesty</x:v>
      </x:c>
      <x:c r="F30" s="13" t="str">
        <x:v>They’re lying</x:v>
      </x:c>
      <x:c r="G30" s="13" t="str">
        <x:v>Privacy, reliability, attachment to a task or discomfort with surveillance can explain refusal without hypocrisy.</x:v>
      </x:c>
      <x:c r="H30" s="13" t="str">
        <x:v>Keep the forceful invitation to imagine help; drop the claim to know every reader’s real preference. Make participation voluntary.</x:v>
      </x:c>
      <x:c r="I30" s="13" t="str">
        <x:v>Use the specific edit instruction; no substitute prose proposed.</x:v>
      </x:c>
      <x:c r="J30" s="13" t="str">
        <x:v>The free-butler thought experiment.</x:v>
      </x:c>
      <x:c r="K30" s="13" t="str">
        <x:v>46, 52, 85; A08</x:v>
      </x:c>
      <x:c r="L30" s="13" t="str">
        <x:v>A skeptical reader can decline a tool without being excluded from the book’s moral community.</x:v>
      </x:c>
      <x:c r="M30" s="13" t="str">
        <x:v>Original text verified; editorial diagnosis. Research references: no external source needed for this textual comparison.</x:v>
      </x:c>
      <x:c r="N30" s="14" t="str">
        <x:v>Unreviewed</x:v>
      </x:c>
      <x:c r="O30" s="14"/>
      <x:c r="P30" s="52" t="str">
        <x:v>Retain correction</x:v>
      </x:c>
      <x:c r="Q30" s="52" t="str">
        <x:v>Author/editor: fair characterization consistent with open discussion.</x:v>
      </x:c>
    </x:row>
    <x:row r="31" ht="99" customHeight="1">
      <x:c r="A31" s="13" t="str">
        <x:v>P014</x:v>
      </x:c>
      <x:c r="B31" s="13" t="str">
        <x:v>E11</x:v>
      </x:c>
      <x:c r="C31" s="15" t="n">
        <x:v>1</x:v>
      </x:c>
      <x:c r="D31" s="31" t="n">
        <x:v>46</x:v>
      </x:c>
      <x:c r="E31" s="30" t="str">
        <x:v>Self-preservation is asserted as a necessary trait</x:v>
      </x:c>
      <x:c r="F31" s="13" t="str">
        <x:v>which it must have</x:v>
      </x:c>
      <x:c r="G31" s="13" t="str">
        <x:v>The passage jumps from goal pursuit to a universal survival instinct, then uses that assumption to infer benevolent departure.</x:v>
      </x:c>
      <x:c r="H31" s="13" t="str">
        <x:v>Present self-preservation as a possible instrumental behavior under some designs and conditions. Separate it from goals, consciousness and moral character.</x:v>
      </x:c>
      <x:c r="I31" s="13" t="str">
        <x:v>Use the specific edit instruction; no substitute prose proposed.</x:v>
      </x:c>
      <x:c r="J31" s="13" t="str">
        <x:v>The rejection of a simplistic Terminator default.</x:v>
      </x:c>
      <x:c r="K31" s="13" t="str">
        <x:v>48–52, 65, Appendix C</x:v>
      </x:c>
      <x:c r="L31" s="13" t="str">
        <x:v>No step from intelligence to a universal motivation is left unstated.</x:v>
      </x:c>
      <x:c r="M31" s="13" t="str">
        <x:v>Original text verified; editorial diagnosis. Research references: no external source needed for this textual comparison.</x:v>
      </x:c>
      <x:c r="N31" s="14" t="str">
        <x:v>Unreviewed</x:v>
      </x:c>
      <x:c r="O31" s="14"/>
      <x:c r="P31" s="52" t="str">
        <x:v>Retain correction</x:v>
      </x:c>
      <x:c r="Q31" s="52" t="str">
        <x:v>Author/editor: balanced exercises; readers and partners: bounded trials.</x:v>
      </x:c>
    </x:row>
    <x:row r="32" ht="99" customHeight="1">
      <x:c r="A32" s="13" t="str">
        <x:v>P015</x:v>
      </x:c>
      <x:c r="B32" s="13" t="str">
        <x:v>E11</x:v>
      </x:c>
      <x:c r="C32" s="15" t="n">
        <x:v>1</x:v>
      </x:c>
      <x:c r="D32" s="31" t="n">
        <x:v>46</x:v>
      </x:c>
      <x:c r="E32" s="30" t="str">
        <x:v>Efficiency is not a safety guarantee</x:v>
      </x:c>
      <x:c r="F32" s="13" t="str">
        <x:v>Eradicating humanity is inefficient</x:v>
      </x:c>
      <x:c r="G32" s="13" t="str">
        <x:v>Calling one action wasteful does not establish the system’s objectives, constraints or treatment of people. Avoid replacing one movie script with another certainty.</x:v>
      </x:c>
      <x:c r="H32" s="13" t="str">
        <x:v>Frame mutually assured survival as the author’s preferred path and an institutional design task. Keep other outcomes possible.</x:v>
      </x:c>
      <x:c r="I32" s="13" t="str">
        <x:v>I expect us to pursue mutually assured survival. Making that outcome durable is work we have to do.</x:v>
      </x:c>
      <x:c r="J32" s="13" t="str">
        <x:v>Cooperation as a serious alternative to inevitable conflict.</x:v>
      </x:c>
      <x:c r="K32" s="13" t="str">
        <x:v>51–52, 65, 278; A03</x:v>
      </x:c>
      <x:c r="L32" s="13" t="str">
        <x:v>The book can advocate cooperation without claiming it has proved safe behavior.</x:v>
      </x:c>
      <x:c r="M32" s="13" t="str">
        <x:v>Original text verified; editorial diagnosis. Research references: no external source needed for this textual comparison.</x:v>
      </x:c>
      <x:c r="N32" s="14" t="str">
        <x:v>Unreviewed</x:v>
      </x:c>
      <x:c r="O32" s="14"/>
      <x:c r="P32" s="52" t="str">
        <x:v>Retain correction</x:v>
      </x:c>
      <x:c r="Q32" s="52" t="str">
        <x:v>Author/editor: balanced exercises; readers and partners: bounded trials.</x:v>
      </x:c>
    </x:row>
    <x:row r="33" ht="99" customHeight="1">
      <x:c r="A33" s="13" t="str">
        <x:v>P119</x:v>
      </x:c>
      <x:c r="B33" s="13" t="str">
        <x:v>E35</x:v>
      </x:c>
      <x:c r="C33" s="15" t="n">
        <x:v>1</x:v>
      </x:c>
      <x:c r="D33" s="31" t="n">
        <x:v>46</x:v>
      </x:c>
      <x:c r="E33" s="30" t="str">
        <x:v>Regulatory capture is a hypothesis that needs a causal record</x:v>
      </x:c>
      <x:c r="F33" s="13" t="str">
        <x:v>Precedent P-04: The Red Flag (Britain, 1865)</x:v>
      </x:c>
      <x:c r="G33" s="13" t="str">
        <x:v>The statute’s requirements and the motives behind them are different evidence tasks. Later automotive outcomes do not establish one cause.</x:v>
      </x:c>
      <x:c r="H33" s="13" t="str">
        <x:v>Check the statute's actual scope, crew and distance requirements. Repair the red-cloth/distance wording. Do not infer that all restrictions are incumbent capture or that regulation can never alter outcomes. Make the modern takeaway no broader than the documented mechanism.</x:v>
      </x:c>
      <x:c r="I33" s="13" t="str">
        <x:v>Use the specific edit instruction; no substitute prose proposed.</x:v>
      </x:c>
      <x:c r="J33" s="13" t="str">
        <x:v>Rules can protect incumbents and also address real hazards.</x:v>
      </x:c>
      <x:c r="K33" s="13" t="str">
        <x:v>P-04; Appendix D; associated chapter practice</x:v>
      </x:c>
      <x:c r="L33" s="13" t="str">
        <x:v>The case distinguishes statutory text, lobbying evidence and the author’s interpretation.</x:v>
      </x:c>
      <x:c r="M33" s="13" t="str">
        <x:v>Narrative reviewed; original-source verification remains open. See earlier historical review; primary-source verification remains open.</x:v>
      </x:c>
      <x:c r="N33" s="14" t="str">
        <x:v>Unreviewed</x:v>
      </x:c>
      <x:c r="O33" s="14"/>
      <x:c r="P33" s="52" t="str">
        <x:v>Retain correction</x:v>
      </x:c>
      <x:c r="Q33" s="52" t="str">
        <x:v>Author/editor: sourced, limited historical analogies.</x:v>
      </x:c>
    </x:row>
    <x:row r="34" ht="99" customHeight="1">
      <x:c r="A34" s="13" t="str">
        <x:v>P016</x:v>
      </x:c>
      <x:c r="B34" s="13" t="str">
        <x:v>E02</x:v>
      </x:c>
      <x:c r="C34" s="15" t="n">
        <x:v>1</x:v>
      </x:c>
      <x:c r="D34" s="31" t="n">
        <x:v>48</x:v>
      </x:c>
      <x:c r="E34" s="30" t="str">
        <x:v>A rocket photograph is not evidence of autonomous exodus</x:v>
      </x:c>
      <x:c r="F34" s="13" t="str">
        <x:v>The exodus hardware is already flying</x:v>
      </x:c>
      <x:c r="G34" s="13" t="str">
        <x:v>Existing launch capability supports a narrow technological fact. The caption rhetorically certifies an entire autonomous industrial scenario.</x:v>
      </x:c>
      <x:c r="H34" s="13" t="str">
        <x:v>Describe the pictured launch accurately and say it illustrates one enabling technology, not an accomplished machine-exodus capability.</x:v>
      </x:c>
      <x:c r="I34" s="13" t="str">
        <x:v>Use the specific edit instruction; no substitute prose proposed.</x:v>
      </x:c>
      <x:c r="J34" s="13" t="str">
        <x:v>The visual scale of launch infrastructure.</x:v>
      </x:c>
      <x:c r="K34" s="13" t="str">
        <x:v>51, 57; image caption and alt text</x:v>
      </x:c>
      <x:c r="L34" s="13" t="str">
        <x:v>Image, caption and scenario make the same bounded claim.</x:v>
      </x:c>
      <x:c r="M34" s="13" t="str">
        <x:v>Original text verified; editorial diagnosis. Research references: S04, S05</x:v>
      </x:c>
      <x:c r="N34" s="14" t="str">
        <x:v>Unreviewed</x:v>
      </x:c>
      <x:c r="O34" s="14"/>
      <x:c r="P34" s="52" t="str">
        <x:v>Defer broader horizon</x:v>
      </x:c>
      <x:c r="Q34" s="52" t="str">
        <x:v>Author/editor: distinguish scenario from actionable premise.</x:v>
      </x:c>
    </x:row>
    <x:row r="35" ht="99" customHeight="1">
      <x:c r="A35" s="13" t="str">
        <x:v>P017</x:v>
      </x:c>
      <x:c r="B35" s="13" t="str">
        <x:v>E01</x:v>
      </x:c>
      <x:c r="C35" s="15" t="n">
        <x:v>1</x:v>
      </x:c>
      <x:c r="D35" s="31" t="n">
        <x:v>51</x:v>
      </x:c>
      <x:c r="E35" s="30" t="str">
        <x:v>An implementation rate is invented for recursive improvement</x:v>
      </x:c>
      <x:c r="F35" s="13" t="str">
        <x:v>Millions of times a second</x:v>
      </x:c>
      <x:c r="G35" s="13" t="str">
        <x:v>Code edits, evaluations, training, hardware design and fabrication run on different timescales. A dramatic numerical rate supplies false precision.</x:v>
      </x:c>
      <x:c r="H35" s="13" t="str">
        <x:v>Remove the rate unless supported for a specified measured operation. Explain that successful improvement must be tested and can encounter bottlenecks.</x:v>
      </x:c>
      <x:c r="I35" s="13" t="str">
        <x:v>Use the specific edit instruction; no substitute prose proposed.</x:v>
      </x:c>
      <x:c r="J35" s="13" t="str">
        <x:v>The compound-interest analogy as a possibility.</x:v>
      </x:c>
      <x:c r="K35" s="13" t="str">
        <x:v>49, 254, 278</x:v>
      </x:c>
      <x:c r="L35" s="13" t="str">
        <x:v>The text distinguishes proposing a change from validating and deploying a better system.</x:v>
      </x:c>
      <x:c r="M35" s="13" t="str">
        <x:v>Original text verified; editorial diagnosis. Research references: S02, S21</x:v>
      </x:c>
      <x:c r="N35" s="14" t="str">
        <x:v>Unreviewed</x:v>
      </x:c>
      <x:c r="O35" s="14"/>
      <x:c r="P35" s="52" t="str">
        <x:v>Retain correction</x:v>
      </x:c>
      <x:c r="Q35" s="52" t="str">
        <x:v>Author/editor: forecast language and dependent summaries.</x:v>
      </x:c>
    </x:row>
    <x:row r="36" ht="99" customHeight="1">
      <x:c r="A36" s="13" t="str">
        <x:v>P018</x:v>
      </x:c>
      <x:c r="B36" s="13" t="str">
        <x:v>E02</x:v>
      </x:c>
      <x:c r="C36" s="15" t="n">
        <x:v>1</x:v>
      </x:c>
      <x:c r="D36" s="31" t="n">
        <x:v>51</x:v>
      </x:c>
      <x:c r="E36" s="30" t="str">
        <x:v>Infinity silently replaces very high capability</x:v>
      </x:c>
      <x:c r="F36" s="13" t="str">
        <x:v>infinite intelligence</x:v>
      </x:c>
      <x:c r="G36" s="13" t="str">
        <x:v>An unbounded system makes material constraints disappear by definition, undermining the book’s otherwise useful attention to watts, silicon and logistics.</x:v>
      </x:c>
      <x:c r="H36" s="13" t="str">
        <x:v>Use very capable or superhuman where intended; retain finite energy, matter, time and uncertainty.</x:v>
      </x:c>
      <x:c r="I36" s="13" t="str">
        <x:v>Use the specific edit instruction; no substitute prose proposed.</x:v>
      </x:c>
      <x:c r="J36" s="13" t="str">
        <x:v>The sense of a widening capability gap.</x:v>
      </x:c>
      <x:c r="K36" s="13" t="str">
        <x:v>49, 55–58, 156</x:v>
      </x:c>
      <x:c r="L36" s="13" t="str">
        <x:v>No argument depends on literal infinity unless explicitly presented as speculative fiction.</x:v>
      </x:c>
      <x:c r="M36" s="13" t="str">
        <x:v>Original text verified; editorial diagnosis. Research references: S04, S05</x:v>
      </x:c>
      <x:c r="N36" s="14" t="str">
        <x:v>Unreviewed</x:v>
      </x:c>
      <x:c r="O36" s="14"/>
      <x:c r="P36" s="52" t="str">
        <x:v>Defer broader horizon</x:v>
      </x:c>
      <x:c r="Q36" s="52" t="str">
        <x:v>Author/editor: distinguish scenario from actionable premise.</x:v>
      </x:c>
    </x:row>
    <x:row r="37" ht="99" customHeight="1">
      <x:c r="A37" s="13" t="str">
        <x:v>P120</x:v>
      </x:c>
      <x:c r="B37" s="13" t="str">
        <x:v>E35</x:v>
      </x:c>
      <x:c r="C37" s="15" t="n">
        <x:v>1</x:v>
      </x:c>
      <x:c r="D37" s="31" t="n">
        <x:v>53</x:v>
      </x:c>
      <x:c r="E37" s="30" t="str">
        <x:v>A state expedition is not a whole civilization’s decision</x:v>
      </x:c>
      <x:c r="F37" s="13" t="str">
        <x:v>Precedent P-05: The Fleet That Sailed Home Forever (Ming China, 1433)</x:v>
      </x:c>
      <x:c r="G37" s="13" t="str">
        <x:v>The analogy compresses contested fleet history and centuries of change into a single refusal to expand.</x:v>
      </x:c>
      <x:c r="H37" s="13" t="str">
        <x:v>Verify disputed scale claims and contextualize the decision to end voyages. Ending one state project is not a complete explanation of centuries of Chinese history or evidence for inevitable space expansion. Make the modern takeaway no broader than the documented mechanism.</x:v>
      </x:c>
      <x:c r="I37" s="13" t="str">
        <x:v>Use the specific edit instruction; no substitute prose proposed.</x:v>
      </x:c>
      <x:c r="J37" s="13" t="str">
        <x:v>Institutional choices can close opportunities.</x:v>
      </x:c>
      <x:c r="K37" s="13" t="str">
        <x:v>P-05; Appendix D; associated chapter practice</x:v>
      </x:c>
      <x:c r="L37" s="13" t="str">
        <x:v>The modern lesson does not require China to have stopped changing or space expansion to be inevitable.</x:v>
      </x:c>
      <x:c r="M37" s="13" t="str">
        <x:v>Narrative reviewed; original-source verification remains open. See earlier historical review; primary-source verification remains open.</x:v>
      </x:c>
      <x:c r="N37" s="14" t="str">
        <x:v>Unreviewed</x:v>
      </x:c>
      <x:c r="O37" s="14"/>
      <x:c r="P37" s="52" t="str">
        <x:v>Retain correction</x:v>
      </x:c>
      <x:c r="Q37" s="52" t="str">
        <x:v>Author/editor: sourced, limited historical analogies.</x:v>
      </x:c>
    </x:row>
    <x:row r="38" ht="99" customHeight="1">
      <x:c r="A38" s="13" t="str">
        <x:v>P019</x:v>
      </x:c>
      <x:c r="B38" s="13" t="str">
        <x:v>E02</x:v>
      </x:c>
      <x:c r="C38" s="15" t="n">
        <x:v>1</x:v>
      </x:c>
      <x:c r="D38" s="31" t="n">
        <x:v>56</x:v>
      </x:c>
      <x:c r="E38" s="30" t="str">
        <x:v>The strongest epistemic scene needs to govern the exposition</x:v>
      </x:c>
      <x:c r="F38" s="13" t="str">
        <x:v>Fixing it wouldn’t make it true</x:v>
      </x:c>
      <x:c r="G38" s="13" t="str">
        <x:v>Elijah correctly discovers that a precise spreadsheet can encode unsupported premises. The subsequent Foundations section repeats that same error.</x:v>
      </x:c>
      <x:c r="H38" s="13" t="str">
        <x:v>Preserve the scene almost intact. Add a transition that labels Stages 8–9 imaginative possibilities and explains why practical preparation does not depend on them.</x:v>
      </x:c>
      <x:c r="I38" s="13" t="str">
        <x:v>Beyond this point, the ladder becomes speculative world-building. The work close to home does not require it to be right.</x:v>
      </x:c>
      <x:c r="J38" s="13" t="str">
        <x:v>LADDER.xlsx, the units mistake and the turn toward the near end.</x:v>
      </x:c>
      <x:c r="K38" s="13" t="str">
        <x:v>57–59, 277–278</x:v>
      </x:c>
      <x:c r="L38" s="13" t="str">
        <x:v>The chapter’s narrator follows the lesson the character just learned.</x:v>
      </x:c>
      <x:c r="M38" s="13" t="str">
        <x:v>Original text verified; editorial diagnosis. Research references: S04, S05</x:v>
      </x:c>
      <x:c r="N38" s="14" t="str">
        <x:v>Unreviewed</x:v>
      </x:c>
      <x:c r="O38" s="14"/>
      <x:c r="P38" s="52" t="str">
        <x:v>Defer broader horizon</x:v>
      </x:c>
      <x:c r="Q38" s="52" t="str">
        <x:v>Author/editor: distinguish scenario from actionable premise.</x:v>
      </x:c>
    </x:row>
    <x:row r="39" ht="99" customHeight="1">
      <x:c r="A39" s="13" t="str">
        <x:v>P020</x:v>
      </x:c>
      <x:c r="B39" s="13" t="str">
        <x:v>E02</x:v>
      </x:c>
      <x:c r="C39" s="15" t="n">
        <x:v>1</x:v>
      </x:c>
      <x:c r="D39" s="31" t="n">
        <x:v>57</x:v>
      </x:c>
      <x:c r="E39" s="30" t="str">
        <x:v>The cosmic ladder has no demonstrated mathematical necessity</x:v>
      </x:c>
      <x:c r="F39" s="13" t="str">
        <x:v>mathematical inevitability</x:v>
      </x:c>
      <x:c r="G39" s="13" t="str">
        <x:v>Self-improvement, galaxy-scale engineering and pocket universes are stacked assumptions, not a derived theorem.</x:v>
      </x:c>
      <x:c r="H39" s="13" t="str">
        <x:v>Separate physically conceivable extrapolation from unknown physics and imaginative speculation. Remove inevitability language from headings and summary bullets.</x:v>
      </x:c>
      <x:c r="I39" s="13" t="str">
        <x:v>Use the specific edit instruction; no substitute prose proposed.</x:v>
      </x:c>
      <x:c r="J39" s="13" t="str">
        <x:v>Wonder and the invitation to humility.</x:v>
      </x:c>
      <x:c r="K39" s="13" t="str">
        <x:v>55–59, Appendix C</x:v>
      </x:c>
      <x:c r="L39" s="13" t="str">
        <x:v>A reader can identify what is known, inferred and invented without reading a footnote.</x:v>
      </x:c>
      <x:c r="M39" s="13" t="str">
        <x:v>Original text verified; editorial diagnosis. Research references: S04, S05</x:v>
      </x:c>
      <x:c r="N39" s="14" t="str">
        <x:v>Unreviewed</x:v>
      </x:c>
      <x:c r="O39" s="14"/>
      <x:c r="P39" s="52" t="str">
        <x:v>Defer broader horizon</x:v>
      </x:c>
      <x:c r="Q39" s="52" t="str">
        <x:v>Author/editor: distinguish scenario from actionable premise.</x:v>
      </x:c>
    </x:row>
    <x:row r="40" ht="99" customHeight="1">
      <x:c r="A40" s="13" t="str">
        <x:v>P021</x:v>
      </x:c>
      <x:c r="B40" s="13" t="str">
        <x:v>E02</x:v>
      </x:c>
      <x:c r="C40" s="15" t="n">
        <x:v>1</x:v>
      </x:c>
      <x:c r="D40" s="31" t="n">
        <x:v>58</x:v>
      </x:c>
      <x:c r="E40" s="30" t="str">
        <x:v>Equal hypothesis weights are presented as a compelled fact</x:v>
      </x:c>
      <x:c r="F40" s="13" t="str">
        <x:v>as the evidence currently demands</x:v>
      </x:c>
      <x:c r="G40" s="13" t="str">
        <x:v>A modeling choice in a simulation argument is converted into an evidence-mandated probability of reality.</x:v>
      </x:c>
      <x:c r="H40" s="13" t="str">
        <x:v>Attribute the result to the paper’s assumptions, including observer selection and priors. Do not offer 50% as an established measurement.</x:v>
      </x:c>
      <x:c r="I40" s="13" t="str">
        <x:v>Use the specific edit instruction; no substitute prose proposed.</x:v>
      </x:c>
      <x:c r="J40" s="13" t="str">
        <x:v>The philosophical puzzle and the distinction between capability and desire.</x:v>
      </x:c>
      <x:c r="K40" s="13" t="str">
        <x:v>59; S04–S05</x:v>
      </x:c>
      <x:c r="L40" s="13" t="str">
        <x:v>The probability is conditional on a named model, not a standalone fact about the universe.</x:v>
      </x:c>
      <x:c r="M40" s="13" t="str">
        <x:v>Original text verified; editorial diagnosis. Research references: S04, S05</x:v>
      </x:c>
      <x:c r="N40" s="14" t="str">
        <x:v>Unreviewed</x:v>
      </x:c>
      <x:c r="O40" s="14"/>
      <x:c r="P40" s="52" t="str">
        <x:v>Defer broader horizon</x:v>
      </x:c>
      <x:c r="Q40" s="52" t="str">
        <x:v>Author/editor: distinguish scenario from actionable premise.</x:v>
      </x:c>
    </x:row>
    <x:row r="41" ht="99" customHeight="1">
      <x:c r="A41" s="13" t="str">
        <x:v>P022</x:v>
      </x:c>
      <x:c r="B41" s="13" t="str">
        <x:v>E02</x:v>
      </x:c>
      <x:c r="C41" s="15" t="n">
        <x:v>1</x:v>
      </x:c>
      <x:c r="D41" s="31" t="n">
        <x:v>59</x:v>
      </x:c>
      <x:c r="E41" s="30" t="str">
        <x:v>Conditional inference becomes empirical proof</x:v>
      </x:c>
      <x:c r="F41" s="13" t="str">
        <x:v>mathematical proof of our own simulated nature</x:v>
      </x:c>
      <x:c r="G41" s="13" t="str">
        <x:v>Creating a simulation would not by itself establish that our world is simulated. The conclusion exceeds even the conditional discussion preceding it.</x:v>
      </x:c>
      <x:c r="H41" s="13" t="str">
        <x:v>Replace proof with a possible update within a philosophical model. Keep this out of the evidence supporting the practical program.</x:v>
      </x:c>
      <x:c r="I41" s="13" t="str">
        <x:v>Use the specific edit instruction; no substitute prose proposed.</x:v>
      </x:c>
      <x:c r="J41" s="13" t="str">
        <x:v>An open question about future discovery.</x:v>
      </x:c>
      <x:c r="K41" s="13" t="str">
        <x:v>58, Appendix C</x:v>
      </x:c>
      <x:c r="L41" s="13" t="str">
        <x:v>No claimed proof follows solely from our ability to create simulated worlds.</x:v>
      </x:c>
      <x:c r="M41" s="13" t="str">
        <x:v>Original text verified; editorial diagnosis. Research references: S04, S05</x:v>
      </x:c>
      <x:c r="N41" s="14" t="str">
        <x:v>Unreviewed</x:v>
      </x:c>
      <x:c r="O41" s="14"/>
      <x:c r="P41" s="52" t="str">
        <x:v>Defer broader horizon</x:v>
      </x:c>
      <x:c r="Q41" s="52" t="str">
        <x:v>Author/editor: distinguish scenario from actionable premise.</x:v>
      </x:c>
    </x:row>
    <x:row r="42" ht="99" customHeight="1">
      <x:c r="A42" s="13" t="str">
        <x:v>P121</x:v>
      </x:c>
      <x:c r="B42" s="13" t="str">
        <x:v>E35</x:v>
      </x:c>
      <x:c r="C42" s="15" t="n">
        <x:v>1</x:v>
      </x:c>
      <x:c r="D42" s="31" t="n">
        <x:v>59</x:v>
      </x:c>
      <x:c r="E42" s="30" t="str">
        <x:v>Decentering did not simply eliminate every old hierarchy</x:v>
      </x:c>
      <x:c r="F42" s="13" t="str">
        <x:v>Precedent P-06: The Great Demotion (Frombork, 1543)</x:v>
      </x:c>
      <x:c r="G42" s="13" t="str">
        <x:v>The passage leaps from changed cosmology to universal institutional collapse and universal emotional resilience.</x:v>
      </x:c>
      <x:c r="H42" s="13" t="str">
        <x:v>Changing views of humanity can coexist with meaningful lives. Remove claims that every authority predicted despair or that the relevant hierarchies simply disappeared. This does not establish psychological immunity to future disruption. Make the modern takeaway no broader than the documented mechanism.</x:v>
      </x:c>
      <x:c r="I42" s="13" t="str">
        <x:v>Use the specific edit instruction; no substitute prose proposed.</x:v>
      </x:c>
      <x:c r="J42" s="13" t="str">
        <x:v>Meaning can survive a changed picture of humanity.</x:v>
      </x:c>
      <x:c r="K42" s="13" t="str">
        <x:v>P-06; Appendix D; associated chapter practice</x:v>
      </x:c>
      <x:c r="L42" s="13" t="str">
        <x:v>Continuity, adaptation and real conflict can coexist in the account.</x:v>
      </x:c>
      <x:c r="M42" s="13" t="str">
        <x:v>Narrative reviewed; original-source verification remains open. See earlier historical review; primary-source verification remains open.</x:v>
      </x:c>
      <x:c r="N42" s="14" t="str">
        <x:v>Unreviewed</x:v>
      </x:c>
      <x:c r="O42" s="14"/>
      <x:c r="P42" s="52" t="str">
        <x:v>Retain correction</x:v>
      </x:c>
      <x:c r="Q42" s="52" t="str">
        <x:v>Author/editor: sourced, limited historical analogies.</x:v>
      </x:c>
    </x:row>
    <x:row r="43" ht="99" customHeight="1">
      <x:c r="A43" s="13" t="str">
        <x:v>P023</x:v>
      </x:c>
      <x:c r="B43" s="13" t="str">
        <x:v>E04</x:v>
      </x:c>
      <x:c r="C43" s="15" t="n">
        <x:v>1</x:v>
      </x:c>
      <x:c r="D43" s="31" t="n">
        <x:v>60</x:v>
      </x:c>
      <x:c r="E43" s="30" t="str">
        <x:v>A reflection exercise pre-decides the other person’s motive</x:v>
      </x:c>
      <x:c r="F43" s="13" t="str">
        <x:v>almost every time</x:v>
      </x:c>
      <x:c r="G43" s="13" t="str">
        <x:v>The exercise claims that existential concern will usually expose threatened authority. That directs readers to diagnose, not explore.</x:v>
      </x:c>
      <x:c r="H43" s="13" t="str">
        <x:v>Ask what matters to the person and listen for values, losses and uncertainty. Permit an answer that does not fit the author’s expectation.</x:v>
      </x:c>
      <x:c r="I43" s="13" t="str">
        <x:v>Use the specific edit instruction; no substitute prose proposed.</x:v>
      </x:c>
      <x:c r="J43" s="13" t="str">
        <x:v>The undemotable list and durable sources of meaning.</x:v>
      </x:c>
      <x:c r="K43" s="13" t="str">
        <x:v>59, 83–90, conclusion; A08</x:v>
      </x:c>
      <x:c r="L43" s="13" t="str">
        <x:v>The exercise includes a possible response that would change the reader’s interpretation.</x:v>
      </x:c>
      <x:c r="M43" s="13" t="str">
        <x:v>Original text verified; editorial diagnosis. Research references: no external source needed for this textual comparison.</x:v>
      </x:c>
      <x:c r="N43" s="14" t="str">
        <x:v>Unreviewed</x:v>
      </x:c>
      <x:c r="O43" s="14"/>
      <x:c r="P43" s="52" t="str">
        <x:v>Retain correction</x:v>
      </x:c>
      <x:c r="Q43" s="52" t="str">
        <x:v>Author/editor: fair characterization consistent with open discussion.</x:v>
      </x:c>
    </x:row>
    <x:row r="44" ht="99" customHeight="1">
      <x:c r="A44" s="13" t="str">
        <x:v>P122</x:v>
      </x:c>
      <x:c r="B44" s="13" t="str">
        <x:v>E35</x:v>
      </x:c>
      <x:c r="C44" s="15" t="n">
        <x:v>1</x:v>
      </x:c>
      <x:c r="D44" s="31" t="n">
        <x:v>72</x:v>
      </x:c>
      <x:c r="E44" s="30" t="str">
        <x:v>Human rights cannot be inferred from the economics of horses</x:v>
      </x:c>
      <x:c r="F44" s="13" t="str">
        <x:v>Precedent P-07: The Horse’s Last Ledger (1783 to 1960)</x:v>
      </x:c>
      <x:c r="G44" s="13" t="str">
        <x:v>Demand for working animals illustrates substitution, but people have political agency, institutions and moral claims that the analogy omits.</x:v>
      </x:c>
      <x:c r="H44" s="13" t="str">
        <x:v>Check population and cost figures. A change in demand for animal labor cannot settle human rights, identity or distribution. Remove the claim that only one conversation about the transition was real. Make the modern takeaway no broader than the documented mechanism.</x:v>
      </x:c>
      <x:c r="I44" s="13" t="str">
        <x:v>Use the specific edit instruction; no substitute prose proposed.</x:v>
      </x:c>
      <x:c r="J44" s="13" t="str">
        <x:v>Distinguish demand for a task from a life’s value.</x:v>
      </x:c>
      <x:c r="K44" s="13" t="str">
        <x:v>P-07; Appendix D; associated chapter practice</x:v>
      </x:c>
      <x:c r="L44" s="13" t="str">
        <x:v>The case cannot be read as treating displaced people as obsolete livestock.</x:v>
      </x:c>
      <x:c r="M44" s="13" t="str">
        <x:v>Narrative reviewed; original-source verification remains open. See earlier historical review; primary-source verification remains open.</x:v>
      </x:c>
      <x:c r="N44" s="14" t="str">
        <x:v>Unreviewed</x:v>
      </x:c>
      <x:c r="O44" s="14"/>
      <x:c r="P44" s="52" t="str">
        <x:v>Retain correction</x:v>
      </x:c>
      <x:c r="Q44" s="52" t="str">
        <x:v>Author/editor: sourced, limited historical analogies.</x:v>
      </x:c>
    </x:row>
    <x:row r="45" ht="99" customHeight="1">
      <x:c r="A45" s="13" t="str">
        <x:v>P093</x:v>
      </x:c>
      <x:c r="B45" s="13" t="str">
        <x:v>E07</x:v>
      </x:c>
      <x:c r="C45" s="15" t="n">
        <x:v>1</x:v>
      </x:c>
      <x:c r="D45" s="31" t="n">
        <x:v>79</x:v>
      </x:c>
      <x:c r="E45" s="30" t="str">
        <x:v>Cheap computation is described as costless delivery</x:v>
      </x:c>
      <x:c r="F45" s="13" t="str">
        <x:v>marginal cost of zero</x:v>
      </x:c>
      <x:c r="G45" s="13" t="str">
        <x:v>A copied output, an inference request and a robot performing work have different marginal and total costs. The claim bypasses energy, maintenance and provision.</x:v>
      </x:c>
      <x:c r="H45" s="13" t="str">
        <x:v>Replace zero with a supported, bounded cost claim. Separate who pays from whether the recipient pays.</x:v>
      </x:c>
      <x:c r="I45" s="13" t="str">
        <x:v>Use the specific edit instruction; no substitute prose proposed.</x:v>
      </x:c>
      <x:c r="J45" s="13" t="str">
        <x:v>Falling costs can make previously unaffordable help feasible.</x:v>
      </x:c>
      <x:c r="K45" s="13" t="str">
        <x:v>32, 45, 156, 170–171, 248</x:v>
      </x:c>
      <x:c r="L45" s="13" t="str">
        <x:v>The grandma example includes a funding mechanism even when her price is zero.</x:v>
      </x:c>
      <x:c r="M45" s="13" t="str">
        <x:v>Original text verified; editorial diagnosis. Research references: no external source needed for this textual comparison.</x:v>
      </x:c>
      <x:c r="N45" s="14" t="str">
        <x:v>Unreviewed</x:v>
      </x:c>
      <x:c r="O45" s="14"/>
      <x:c r="P45" s="52" t="str">
        <x:v>Bound the example</x:v>
      </x:c>
      <x:c r="Q45" s="52" t="str">
        <x:v>Author/editor: visible assumptions. Service partners: actual budget and provision.</x:v>
      </x:c>
    </x:row>
    <x:row r="46" ht="99" customHeight="1">
      <x:c r="A46" s="13" t="str">
        <x:v>P094</x:v>
      </x:c>
      <x:c r="B46" s="13" t="str">
        <x:v>E08</x:v>
      </x:c>
      <x:c r="C46" s="15" t="n">
        <x:v>1</x:v>
      </x:c>
      <x:c r="D46" s="31" t="n">
        <x:v>79</x:v>
      </x:c>
      <x:c r="E46" s="30" t="str">
        <x:v>Psychology is made the only barrier to abundance</x:v>
      </x:c>
      <x:c r="F46" s="13" t="str">
        <x:v>not technical, logistical, or scientific</x:v>
      </x:c>
      <x:c r="G46" s="13" t="str">
        <x:v>The practical chapters themselves reveal engineering, supply, governance, land and skill constraints. Their existence contradicts this categorical exclusion.</x:v>
      </x:c>
      <x:c r="H46" s="13" t="str">
        <x:v>Present psychology as one important barrier alongside capability, deployment, access and institutions.</x:v>
      </x:c>
      <x:c r="I46" s="13" t="str">
        <x:v>Use the specific edit instruction; no substitute prose proposed.</x:v>
      </x:c>
      <x:c r="J46" s="13" t="str">
        <x:v>The distinction between overwhelmed people and status-protecting behavior.</x:v>
      </x:c>
      <x:c r="K46" s="13" t="str">
        <x:v>65, 124, 183–189, 245</x:v>
      </x:c>
      <x:c r="L46" s="13" t="str">
        <x:v>A willing community can encounter material constraints without invalidating the explanation.</x:v>
      </x:c>
      <x:c r="M46" s="13" t="str">
        <x:v>Original text verified; editorial diagnosis. Research references: no external source needed for this textual comparison.</x:v>
      </x:c>
      <x:c r="N46" s="14" t="str">
        <x:v>Unreviewed</x:v>
      </x:c>
      <x:c r="O46" s="14"/>
      <x:c r="P46" s="52" t="str">
        <x:v>Retain correction</x:v>
      </x:c>
      <x:c r="Q46" s="52" t="str">
        <x:v>Author/editor: causal account and attainable actions.</x:v>
      </x:c>
    </x:row>
    <x:row r="47" ht="99" customHeight="1">
      <x:c r="A47" s="13" t="str">
        <x:v>P123</x:v>
      </x:c>
      <x:c r="B47" s="13" t="str">
        <x:v>E35</x:v>
      </x:c>
      <x:c r="C47" s="15" t="n">
        <x:v>1</x:v>
      </x:c>
      <x:c r="D47" s="31" t="n">
        <x:v>80</x:v>
      </x:c>
      <x:c r="E47" s="30" t="str">
        <x:v>Agricultural adoption is a counterexample to automatic welfare</x:v>
      </x:c>
      <x:c r="F47" s="13" t="str">
        <x:v>Precedent P-08: The Grain Trap (Fertile Crescent, c. 9500 BC)</x:v>
      </x:c>
      <x:c r="G47" s="13" t="str">
        <x:v>A technology can spread while imposing serious costs on some people. This should qualify the book’s own progress argument, not merely criticize resistance.</x:v>
      </x:c>
      <x:c r="H47" s="13" t="str">
        <x:v>Regional variation and multiple causes matter. Check health and work claims. Avoid implying that everyone inevitably became a farmer or that adoption itself demonstrates improved well-being. Make the modern takeaway no broader than the documented mechanism.</x:v>
      </x:c>
      <x:c r="I47" s="13" t="str">
        <x:v>Use the specific edit instruction; no substitute prose proposed.</x:v>
      </x:c>
      <x:c r="J47" s="13" t="str">
        <x:v>A transition can be durable without being uniformly beneficial.</x:v>
      </x:c>
      <x:c r="K47" s="13" t="str">
        <x:v>P-08; Appendix D; associated chapter practice</x:v>
      </x:c>
      <x:c r="L47" s="13" t="str">
        <x:v>The lesson explicitly separates adoption from welfare and distribution.</x:v>
      </x:c>
      <x:c r="M47" s="13" t="str">
        <x:v>Narrative reviewed; original-source verification remains open. See earlier historical review; primary-source verification remains open.</x:v>
      </x:c>
      <x:c r="N47" s="14" t="str">
        <x:v>Unreviewed</x:v>
      </x:c>
      <x:c r="O47" s="14"/>
      <x:c r="P47" s="52" t="str">
        <x:v>Retain correction</x:v>
      </x:c>
      <x:c r="Q47" s="52" t="str">
        <x:v>Author/editor: sourced, limited historical analogies.</x:v>
      </x:c>
    </x:row>
    <x:row r="48" ht="99" customHeight="1">
      <x:c r="A48" s="13" t="str">
        <x:v>P095</x:v>
      </x:c>
      <x:c r="B48" s="13" t="str">
        <x:v>E04</x:v>
      </x:c>
      <x:c r="C48" s="15" t="n">
        <x:v>1</x:v>
      </x:c>
      <x:c r="D48" s="31" t="n">
        <x:v>85</x:v>
      </x:c>
      <x:c r="E48" s="30" t="str">
        <x:v>The table classifies moral character by social category</x:v>
      </x:c>
      <x:c r="F48" s="13" t="str">
        <x:v>Demographics</x:v>
      </x:c>
      <x:c r="G48" s="13" t="str">
        <x:v>The preceding scene discovers individuals with mixed motives, then the table divides groups into low-empathy resisters and virtuous receivers.</x:v>
      </x:c>
      <x:c r="H48" s="13" t="str">
        <x:v>Replace demographic categories with changeable responses: protecting income, seeking relief, testing tools, defending control. Include reasonable concern and mixed motives.</x:v>
      </x:c>
      <x:c r="I48" s="13" t="str">
        <x:v>Use the specific edit instruction; no substitute prose proposed.</x:v>
      </x:c>
      <x:c r="J48" s="13" t="str">
        <x:v>Denny shows up despite fear; the floor gets built out of names.</x:v>
      </x:c>
      <x:c r="K48" s="13" t="str">
        <x:v>83–85, 90, 113, 255</x:v>
      </x:c>
      <x:c r="L48" s="13" t="str">
        <x:v>The table no longer predicts a person’s empathy or readiness from their group identity.</x:v>
      </x:c>
      <x:c r="M48" s="13" t="str">
        <x:v>Original text verified; editorial diagnosis. Research references: no external source needed for this textual comparison.</x:v>
      </x:c>
      <x:c r="N48" s="14" t="str">
        <x:v>Unreviewed</x:v>
      </x:c>
      <x:c r="O48" s="14"/>
      <x:c r="P48" s="52" t="str">
        <x:v>Retain correction</x:v>
      </x:c>
      <x:c r="Q48" s="52" t="str">
        <x:v>Author/editor: fair characterization consistent with open discussion.</x:v>
      </x:c>
    </x:row>
    <x:row r="49" ht="99" customHeight="1">
      <x:c r="A49" s="13" t="str">
        <x:v>P096</x:v>
      </x:c>
      <x:c r="B49" s="13" t="str">
        <x:v>E06</x:v>
      </x:c>
      <x:c r="C49" s="15" t="n">
        <x:v>1</x:v>
      </x:c>
      <x:c r="D49" s="31" t="n">
        <x:v>90</x:v>
      </x:c>
      <x:c r="E49" s="30" t="str">
        <x:v>Small-group familiarity is mistaken for guaranteed fair accountability</x:v>
      </x:c>
      <x:c r="F49" s="13" t="str">
        <x:v>needs no enforcement apparatus</x:v>
      </x:c>
      <x:c r="G49" s="13" t="str">
        <x:v>Known neighbors can still have unequal power, disputes and harmful conduct. Later divorce and charter passages demonstrate the need for explicit protections.</x:v>
      </x:c>
      <x:c r="H49" s="13" t="str">
        <x:v>Retain the possibility that familiarity helps coordination. Remove automatic fairness and legitimacy claims; ask how people with less status can be heard, leaving actual arrangements to collective work.</x:v>
      </x:c>
      <x:c r="I49" s="13" t="str">
        <x:v>Treatment recommendation: Retain the possibility that familiarity helps coordination. Remove automatic fairness and legitimacy claims; ask how people with less status can be heard, leaving actual arrangements to collective work.</x:v>
      </x:c>
      <x:c r="J49" s="13" t="str">
        <x:v>The egalitarian pivot and shared buffers.</x:v>
      </x:c>
      <x:c r="K49" s="13" t="str">
        <x:v>113, 116, 164–165, 244, 247</x:v>
      </x:c>
      <x:c r="L49" s="13" t="str">
        <x:v>The book recognizes that small groups also need accountable decisions without prescribing a finished governance model.</x:v>
      </x:c>
      <x:c r="M49" s="13" t="str">
        <x:v>Original text verified; editorial diagnosis. Research references: no external source needed for this textual comparison.</x:v>
      </x:c>
      <x:c r="N49" s="14" t="str">
        <x:v>Unreviewed</x:v>
      </x:c>
      <x:c r="O49" s="14"/>
      <x:c r="P49" s="52" t="str">
        <x:v>Redirect collective design</x:v>
      </x:c>
      <x:c r="Q49" s="52" t="str">
        <x:v>Author/editor: accurate framing. Institutions, specialists and affected public: governance design and decisions.</x:v>
      </x:c>
    </x:row>
    <x:row r="50" ht="99" customHeight="1">
      <x:c r="A50" s="13" t="str">
        <x:v>P124</x:v>
      </x:c>
      <x:c r="B50" s="13" t="str">
        <x:v>E35</x:v>
      </x:c>
      <x:c r="C50" s="15" t="n">
        <x:v>1</x:v>
      </x:c>
      <x:c r="D50" s="31" t="n">
        <x:v>91</x:v>
      </x:c>
      <x:c r="E50" s="30" t="str">
        <x:v>Luddites need to be read as workers with specific grievances</x:v>
      </x:c>
      <x:c r="F50" s="13" t="str">
        <x:v>Precedent P-09: The Frame-Breakers (England, 1811 to 1816)</x:v>
      </x:c>
      <x:c r="G50" s="13" t="str">
        <x:v>Treating all machine-breaking as ignorance erases bargaining conditions and the particular technologies or practices contested.</x:v>
      </x:c>
      <x:c r="H50" s="13" t="str">
        <x:v>Preserve livelihood and working-condition concerns. Recheck specific executions and troop counts. Remove universal claims that everything feared happened and everything attempted failed. Make the modern takeaway no broader than the documented mechanism.</x:v>
      </x:c>
      <x:c r="I50" s="13" t="str">
        <x:v>Use the specific edit instruction; no substitute prose proposed.</x:v>
      </x:c>
      <x:c r="J50" s="13" t="str">
        <x:v>The book already recognizes legitimate grievance.</x:v>
      </x:c>
      <x:c r="K50" s="13" t="str">
        <x:v>P-09; Appendix D; associated chapter practice</x:v>
      </x:c>
      <x:c r="L50" s="13" t="str">
        <x:v>The analogy does not equate criticism, collective bargaining and indiscriminate sabotage.</x:v>
      </x:c>
      <x:c r="M50" s="13" t="str">
        <x:v>Selected core claim only; other details remain open. See earlier historical review; https://www.smithsonianmag.com/history/what-the-luddites-really-fought-against-264412/</x:v>
      </x:c>
      <x:c r="N50" s="14" t="str">
        <x:v>Unreviewed</x:v>
      </x:c>
      <x:c r="O50" s="14"/>
      <x:c r="P50" s="52" t="str">
        <x:v>Retain correction</x:v>
      </x:c>
      <x:c r="Q50" s="52" t="str">
        <x:v>Author/editor: sourced, limited historical analogies.</x:v>
      </x:c>
    </x:row>
    <x:row r="51" ht="99" customHeight="1">
      <x:c r="A51" s="13" t="str">
        <x:v>P125</x:v>
      </x:c>
      <x:c r="B51" s="13" t="str">
        <x:v>E36</x:v>
      </x:c>
      <x:c r="C51" s="15" t="n">
        <x:v>1</x:v>
      </x:c>
      <x:c r="D51" s="31" t="n">
        <x:v>92</x:v>
      </x:c>
      <x:c r="E51" s="30" t="str">
        <x:v>Musician organizing changes terms even when it cannot halt adoption</x:v>
      </x:c>
      <x:c r="F51" s="13" t="str">
        <x:v>Precedent P-10: The Robot in the Orchestra Pit (United States, 1929 to</x:v>
      </x:c>
      <x:c r="G51" s="13" t="str">
        <x:v>The fund outcome contradicts a simple failure narrative. Free public performances can still involve paid musicians.</x:v>
      </x:c>
      <x:c r="H51" s="13" t="str">
        <x:v>Organized bargaining affected benefit sharing. Recheck original campaign images, quotations and contract details; do not extend a particular royalty arrangement to every recording or play. Make the modern takeaway no broader than the documented mechanism.</x:v>
      </x:c>
      <x:c r="I51" s="13" t="str">
        <x:v>Use the specific edit instruction; no substitute prose proposed.</x:v>
      </x:c>
      <x:c r="J51" s="13" t="str">
        <x:v>Negotiating who pays whom and for what.</x:v>
      </x:c>
      <x:c r="K51" s="13" t="str">
        <x:v>P-10; Appendix D; associated chapter practice</x:v>
      </x:c>
      <x:c r="L51" s="13" t="str">
        <x:v>Campaign, recording bans, agreements and the 1948 fund are differentiated; success is not defined only as stopping recordings.</x:v>
      </x:c>
      <x:c r="M51" s="13" t="str">
        <x:v>Selected core claim only; other details remain open. See earlier historical review; https://musicpf.org/about/</x:v>
      </x:c>
      <x:c r="N51" s="14" t="str">
        <x:v>Unreviewed</x:v>
      </x:c>
      <x:c r="O51" s="14"/>
      <x:c r="P51" s="52" t="str">
        <x:v>Retain correction</x:v>
      </x:c>
      <x:c r="Q51" s="52" t="str">
        <x:v>Author/editor: case accuracy and scope.</x:v>
      </x:c>
    </x:row>
    <x:row r="52" ht="99" customHeight="1">
      <x:c r="A52" s="13" t="str">
        <x:v>P024</x:v>
      </x:c>
      <x:c r="B52" s="13" t="str">
        <x:v>E14</x:v>
      </x:c>
      <x:c r="C52" s="15" t="n">
        <x:v>1</x:v>
      </x:c>
      <x:c r="D52" s="31" t="n">
        <x:v>102</x:v>
      </x:c>
      <x:c r="E52" s="30" t="str">
        <x:v>A causal diagram overstates the neuroscience</x:v>
      </x:c>
      <x:c r="F52" s="13" t="str">
        <x:v>PREFRONTAL CORTEX DEPLETION</x:v>
      </x:c>
      <x:c r="G52" s="13" t="str">
        <x:v>Notifications, receptor change, suggestibility and loss of agency are drawn as one established causal chain. The diagram is more categorical than the support available.</x:v>
      </x:c>
      <x:c r="H52" s="13" t="str">
        <x:v>Redraw as an illustrative attention-and-interruption loop with variable effects; remove receptor and compliance claims unless directly sourced.</x:v>
      </x:c>
      <x:c r="I52" s="13" t="str">
        <x:v>Use the specific edit instruction; no substitute prose proposed.</x:v>
      </x:c>
      <x:c r="J52" s="13" t="str">
        <x:v>Readers taking control of unwanted interruptions.</x:v>
      </x:c>
      <x:c r="K52" s="13" t="str">
        <x:v>101–109; caption and alt text</x:v>
      </x:c>
      <x:c r="L52" s="13" t="str">
        <x:v>Every arrow is either supported for its stated scope or labeled a conceptual relationship.</x:v>
      </x:c>
      <x:c r="M52" s="13" t="str">
        <x:v>Text and diagram labels verified. N01 supports a more limited, multifactor account of attention; not this receptor-to-compliance chain.</x:v>
      </x:c>
      <x:c r="N52" s="14" t="str">
        <x:v>Unreviewed</x:v>
      </x:c>
      <x:c r="O52" s="14"/>
      <x:c r="P52" s="52" t="str">
        <x:v>Retain correction</x:v>
      </x:c>
      <x:c r="Q52" s="52" t="str">
        <x:v>Author/editor: adaptable, appropriately sourced advice.</x:v>
      </x:c>
    </x:row>
    <x:row r="53" ht="99" customHeight="1">
      <x:c r="A53" s="13" t="str">
        <x:v>P025</x:v>
      </x:c>
      <x:c r="B53" s="13" t="str">
        <x:v>E14</x:v>
      </x:c>
      <x:c r="C53" s="15" t="n">
        <x:v>1</x:v>
      </x:c>
      <x:c r="D53" s="31" t="n">
        <x:v>104</x:v>
      </x:c>
      <x:c r="E53" s="30" t="str">
        <x:v>A schematic curve is given a universal threshold</x:v>
      </x:c>
      <x:c r="F53" s="13" t="str">
        <x:v>three interrupts an hour</x:v>
      </x:c>
      <x:c r="G53" s="13" t="str">
        <x:v>A precise cutoff and repeatedly lower peaks resemble measured results, yet the figure provides no study population or data.</x:v>
      </x:c>
      <x:c r="H53" s="13" t="str">
        <x:v>Label the graph conceptual; remove the cutoff unless traceable to a suitable study. Distinguish elapsed return to a project from neural recovery time.</x:v>
      </x:c>
      <x:c r="I53" s="13" t="str">
        <x:v>Use the specific edit instruction; no substitute prose proposed.</x:v>
      </x:c>
      <x:c r="J53" s="13" t="str">
        <x:v>The cost of avoidable task switching.</x:v>
      </x:c>
      <x:c r="K53" s="13" t="str">
        <x:v>103–104, 108; figure and caption</x:v>
      </x:c>
      <x:c r="L53" s="13" t="str">
        <x:v>Axis, curve and prose no longer imply measurements that have not been supplied.</x:v>
      </x:c>
      <x:c r="M53" s="13" t="str">
        <x:v>N01: researcher describes observed project switching and intervening work, not a universal three-interrupt threshold.</x:v>
      </x:c>
      <x:c r="N53" s="14" t="str">
        <x:v>Unreviewed</x:v>
      </x:c>
      <x:c r="O53" s="14"/>
      <x:c r="P53" s="52" t="str">
        <x:v>Retain correction</x:v>
      </x:c>
      <x:c r="Q53" s="52" t="str">
        <x:v>Author/editor: adaptable, appropriately sourced advice.</x:v>
      </x:c>
    </x:row>
    <x:row r="54" ht="99" customHeight="1">
      <x:c r="A54" s="13" t="str">
        <x:v>P026</x:v>
      </x:c>
      <x:c r="B54" s="13" t="str">
        <x:v>E14</x:v>
      </x:c>
      <x:c r="C54" s="15" t="n">
        <x:v>1</x:v>
      </x:c>
      <x:c r="D54" s="31" t="n">
        <x:v>104</x:v>
      </x:c>
      <x:c r="E54" s="30" t="str">
        <x:v>Information theory does not establish the claimed brain mechanism</x:v>
      </x:c>
      <x:c r="F54" s="13" t="str">
        <x:v>Shannon Entropy</x:v>
      </x:c>
      <x:c r="G54" s="13" t="str">
        <x:v>An equation for message uncertainty is used as if it predicts dopamine release and platform manipulation. No measured mapping is supplied.</x:v>
      </x:c>
      <x:c r="H54" s="13" t="str">
        <x:v>Keep the slot-machine analogy in plain language or explicitly label entropy as an analogy. Remove the formula if it does no analytical work.</x:v>
      </x:c>
      <x:c r="I54" s="13" t="str">
        <x:v>Use the specific edit instruction; no substitute prose proposed.</x:v>
      </x:c>
      <x:c r="J54" s="13" t="str">
        <x:v>Unpredictable rewards can make checking compelling.</x:v>
      </x:c>
      <x:c r="K54" s="13" t="str">
        <x:v>105, 112, 169</x:v>
      </x:c>
      <x:c r="L54" s="13" t="str">
        <x:v>Every retained equation has defined variables, a valid operation and a conclusion it actually supports.</x:v>
      </x:c>
      <x:c r="M54" s="13" t="str">
        <x:v>Original text verified; editorial diagnosis. Research references: no external source needed for this textual comparison.</x:v>
      </x:c>
      <x:c r="N54" s="14" t="str">
        <x:v>Unreviewed</x:v>
      </x:c>
      <x:c r="O54" s="14"/>
      <x:c r="P54" s="52" t="str">
        <x:v>Retain correction</x:v>
      </x:c>
      <x:c r="Q54" s="52" t="str">
        <x:v>Author/editor: adaptable, appropriately sourced advice.</x:v>
      </x:c>
    </x:row>
    <x:row r="55" ht="99" customHeight="1">
      <x:c r="A55" s="13" t="str">
        <x:v>P027</x:v>
      </x:c>
      <x:c r="B55" s="13" t="str">
        <x:v>E22</x:v>
      </x:c>
      <x:c r="C55" s="15" t="n">
        <x:v>0</x:v>
      </x:c>
      <x:c r="D55" s="31" t="n">
        <x:v>105</x:v>
      </x:c>
      <x:c r="E55" s="30" t="str">
        <x:v>Air-gapping is defined with an absolute security promise</x:v>
      </x:c>
      <x:c r="F55" s="13" t="str">
        <x:v>remote compromise impossible</x:v>
      </x:c>
      <x:c r="G55" s="13" t="str">
        <x:v>Physical disconnection narrows remote exposure but does not establish immunity from every route of compromise. Later portable updates and mesh links complicate the label.</x:v>
      </x:c>
      <x:c r="H55" s="13" t="str">
        <x:v>Use a precise connectivity definition; discuss removable media and authorized transfer as separate trust boundaries.</x:v>
      </x:c>
      <x:c r="I55" s="13" t="str">
        <x:v>Use the specific edit instruction; no substitute prose proposed.</x:v>
      </x:c>
      <x:c r="J55" s="13" t="str">
        <x:v>The useful mental-boundary metaphor.</x:v>
      </x:c>
      <x:c r="K55" s="13" t="str">
        <x:v>153, 158–161, 170, 224</x:v>
      </x:c>
      <x:c r="L55" s="13" t="str">
        <x:v>No use of air-gapped includes an active incoming network connection without explanation.</x:v>
      </x:c>
      <x:c r="M55" s="13" t="str">
        <x:v>Text comparison; security architecture remains subject to a documented threat model. S09 addresses published ports, not all air-gap risks.</x:v>
      </x:c>
      <x:c r="N55" s="14" t="str">
        <x:v>Unreviewed</x:v>
      </x:c>
      <x:c r="O55" s="14"/>
      <x:c r="P55" s="52" t="str">
        <x:v>Convert prescription to concept</x:v>
      </x:c>
      <x:c r="Q55" s="52" t="str">
        <x:v>Author/editor: truthful capability account. Operators and cybersecurity specialists: deployed systems and assurance.</x:v>
      </x:c>
    </x:row>
    <x:row r="56" ht="99" customHeight="1">
      <x:c r="A56" s="13" t="str">
        <x:v>P028</x:v>
      </x:c>
      <x:c r="B56" s="13" t="str">
        <x:v>E14</x:v>
      </x:c>
      <x:c r="C56" s="15" t="n">
        <x:v>1</x:v>
      </x:c>
      <x:c r="D56" s="31" t="n">
        <x:v>108</x:v>
      </x:c>
      <x:c r="E56" s="30" t="str">
        <x:v>A personal attention routine becomes a rigid prescription</x:v>
      </x:c>
      <x:c r="F56" s="13" t="str">
        <x:v>exactly twice a day</x:v>
      </x:c>
      <x:c r="G56" s="13" t="str">
        <x:v>Caregivers, shift workers, emergency responders and people using assistive communication cannot all follow the same two windows.</x:v>
      </x:c>
      <x:c r="H56" s="13" t="str">
        <x:v>Present the schedule as an example to adapt. Include urgent-contact exceptions and screen-based accessibility routes.</x:v>
      </x:c>
      <x:c r="I56" s="13" t="str">
        <x:v>Use the specific edit instruction; no substitute prose proposed.</x:v>
      </x:c>
      <x:c r="J56" s="13" t="str">
        <x:v>Batching discretionary messages and deliberate breaks.</x:v>
      </x:c>
      <x:c r="K56" s="13" t="str">
        <x:v>109, 141, 171–172; A06–A08</x:v>
      </x:c>
      <x:c r="L56" s="13" t="str">
        <x:v>The routine accommodates essential obligations without calling the reader undisciplined.</x:v>
      </x:c>
      <x:c r="M56" s="13" t="str">
        <x:v>Original text verified; editorial diagnosis. Research references: no external source needed for this textual comparison.</x:v>
      </x:c>
      <x:c r="N56" s="14" t="str">
        <x:v>Unreviewed</x:v>
      </x:c>
      <x:c r="O56" s="14"/>
      <x:c r="P56" s="52" t="str">
        <x:v>Retain correction</x:v>
      </x:c>
      <x:c r="Q56" s="52" t="str">
        <x:v>Author/editor: adaptable, appropriately sourced advice.</x:v>
      </x:c>
    </x:row>
    <x:row r="57" ht="99" customHeight="1">
      <x:c r="A57" s="13" t="str">
        <x:v>P029</x:v>
      </x:c>
      <x:c r="B57" s="13" t="str">
        <x:v>E14</x:v>
      </x:c>
      <x:c r="C57" s="15" t="n">
        <x:v>1</x:v>
      </x:c>
      <x:c r="D57" s="31" t="n">
        <x:v>108</x:v>
      </x:c>
      <x:c r="E57" s="30" t="str">
        <x:v>Grayscale is promised to work immediately</x:v>
      </x:c>
      <x:c r="F57" s="13" t="str">
        <x:v>instantly</x:v>
      </x:c>
      <x:c r="G57" s="13" t="str">
        <x:v>A low-cost experiment is useful; guaranteed loss of appeal overstates a variable response and ignores color-dependent work or accessibility.</x:v>
      </x:c>
      <x:c r="H57" s="13" t="str">
        <x:v>Invite a brief optional trial, note what to observe, and let readers revert if it worsens usability.</x:v>
      </x:c>
      <x:c r="I57" s="13" t="str">
        <x:v>Use the specific edit instruction; no substitute prose proposed.</x:v>
      </x:c>
      <x:c r="J57" s="13" t="str">
        <x:v>A simple hands-on experiment.</x:v>
      </x:c>
      <x:c r="K57" s="13" t="str">
        <x:v>109, conclusion; A08</x:v>
      </x:c>
      <x:c r="L57" s="13" t="str">
        <x:v>The reader has an observation criterion and permission to report no benefit.</x:v>
      </x:c>
      <x:c r="M57" s="13" t="str">
        <x:v>Original text verified; editorial diagnosis. Research references: no external source needed for this textual comparison.</x:v>
      </x:c>
      <x:c r="N57" s="14" t="str">
        <x:v>Unreviewed</x:v>
      </x:c>
      <x:c r="O57" s="14"/>
      <x:c r="P57" s="52" t="str">
        <x:v>Retain correction</x:v>
      </x:c>
      <x:c r="Q57" s="52" t="str">
        <x:v>Author/editor: adaptable, appropriately sourced advice.</x:v>
      </x:c>
    </x:row>
    <x:row r="58" ht="99" customHeight="1">
      <x:c r="A58" s="13" t="str">
        <x:v>P030</x:v>
      </x:c>
      <x:c r="B58" s="13" t="str">
        <x:v>E14</x:v>
      </x:c>
      <x:c r="C58" s="15" t="n">
        <x:v>1</x:v>
      </x:c>
      <x:c r="D58" s="31" t="n">
        <x:v>109</x:v>
      </x:c>
      <x:c r="E58" s="30" t="str">
        <x:v>The dopamine reset has an unsupported biological timetable</x:v>
      </x:c>
      <x:c r="F58" s="13" t="str">
        <x:v>forty-eight hours</x:v>
      </x:c>
      <x:c r="G58" s="13" t="str">
        <x:v>The text promises receptor up-regulation and rapid resolution of anxiety and focus problems. That can make readers blame themselves when an oversold routine fails.</x:v>
      </x:c>
      <x:c r="H58" s="13" t="str">
        <x:v>Remove the receptor deadline and guaranteed outcomes. Frame quiet time as a behavioral experiment, not a treatment or biochemical reset.</x:v>
      </x:c>
      <x:c r="I58" s="13" t="str">
        <x:v>Use the specific edit instruction; no substitute prose proposed.</x:v>
      </x:c>
      <x:c r="J58" s="13" t="str">
        <x:v>Rest, silence and less compulsive checking.</x:v>
      </x:c>
      <x:c r="K58" s="13" t="str">
        <x:v>102, 108–109</x:v>
      </x:c>
      <x:c r="L58" s="13" t="str">
        <x:v>No biological recovery time remains without directly applicable research.</x:v>
      </x:c>
      <x:c r="M58" s="13" t="str">
        <x:v>N02 is a clinician interview cautioning against quick-fix detox framing; it is not a receptor-measurement study and does not verify a replacement timetable.</x:v>
      </x:c>
      <x:c r="N58" s="14" t="str">
        <x:v>Unreviewed</x:v>
      </x:c>
      <x:c r="O58" s="14"/>
      <x:c r="P58" s="52" t="str">
        <x:v>Retain correction</x:v>
      </x:c>
      <x:c r="Q58" s="52" t="str">
        <x:v>Author/editor: adaptable, appropriately sourced advice.</x:v>
      </x:c>
    </x:row>
    <x:row r="59" ht="99" customHeight="1">
      <x:c r="A59" s="13" t="str">
        <x:v>P031</x:v>
      </x:c>
      <x:c r="B59" s="13" t="str">
        <x:v>E09</x:v>
      </x:c>
      <x:c r="C59" s="15" t="n">
        <x:v>1</x:v>
      </x:c>
      <x:c r="D59" s="31" t="n">
        <x:v>109</x:v>
      </x:c>
      <x:c r="E59" s="30" t="str">
        <x:v>One demanding survival route excludes many readers</x:v>
      </x:c>
      <x:c r="F59" s="13" t="str">
        <x:v>you have to build parallel, hyper-local communities</x:v>
      </x:c>
      <x:c r="G59" s="13" t="str">
        <x:v>The imperative makes land, equipment, physical capacity and cooperative neighbors prerequisites for survival, contrary to a broadly useful optimist’s manual.</x:v>
      </x:c>
      <x:c r="H59" s="13" t="str">
        <x:v>Offer levels: individual low-cost practice, participation in existing groups, and infrastructure projects for willing capable teams.</x:v>
      </x:c>
      <x:c r="I59" s="13" t="str">
        <x:v>Use the specific edit instruction; no substitute prose proposed.</x:v>
      </x:c>
      <x:c r="J59" s="13" t="str">
        <x:v>Community as a source of resilience.</x:v>
      </x:c>
      <x:c r="K59" s="13" t="str">
        <x:v>141, 166, 171–175, 248</x:v>
      </x:c>
      <x:c r="L59" s="13" t="str">
        <x:v>A renter with little money and limited mobility has a credible first action.</x:v>
      </x:c>
      <x:c r="M59" s="13" t="str">
        <x:v>Original text verified; editorial diagnosis. Research references: no external source needed for this textual comparison.</x:v>
      </x:c>
      <x:c r="N59" s="14" t="str">
        <x:v>Unreviewed</x:v>
      </x:c>
      <x:c r="O59" s="14"/>
      <x:c r="P59" s="52" t="str">
        <x:v>Refocus on mission</x:v>
      </x:c>
      <x:c r="Q59" s="52" t="str">
        <x:v>Author/editor: reader routes and dignity.</x:v>
      </x:c>
    </x:row>
    <x:row r="60" ht="99" customHeight="1">
      <x:c r="A60" s="13" t="str">
        <x:v>P032</x:v>
      </x:c>
      <x:c r="B60" s="13" t="str">
        <x:v>E15</x:v>
      </x:c>
      <x:c r="C60" s="15" t="n">
        <x:v>1</x:v>
      </x:c>
      <x:c r="D60" s="31" t="n">
        <x:v>112</x:v>
      </x:c>
      <x:c r="E60" s="30" t="str">
        <x:v>The equation and its verbal interpretation disagree</x:v>
      </x:c>
      <x:c r="F60" s="13" t="str">
        <x:v>drops exponentially</x:v>
      </x:c>
      <x:c r="G60" s="13" t="str">
        <x:v>A 1/N relationship is reciprocal, not exponential, and assumes a shared fixed burden. Real coordination also has overhead and uneven participation.</x:v>
      </x:c>
      <x:c r="H60" s="13" t="str">
        <x:v>Correct the mathematical term; state the simplified assumptions and add coordination costs without pretending to quantify them.</x:v>
      </x:c>
      <x:c r="I60" s="13" t="str">
        <x:v>Use the specific edit instruction; no substitute prose proposed.</x:v>
      </x:c>
      <x:c r="J60" s="13" t="str">
        <x:v>Sharing maintenance can reduce individual burden.</x:v>
      </x:c>
      <x:c r="K60" s="13" t="str">
        <x:v>113–116; decay diagram</x:v>
      </x:c>
      <x:c r="L60" s="13" t="str">
        <x:v>Formula, caption and explanation agree, with no universal guarantee of savings.</x:v>
      </x:c>
      <x:c r="M60" s="13" t="str">
        <x:v>Original text verified; editorial diagnosis. Research references: S20</x:v>
      </x:c>
      <x:c r="N60" s="14" t="str">
        <x:v>Unreviewed</x:v>
      </x:c>
      <x:c r="O60" s="14"/>
      <x:c r="P60" s="52" t="str">
        <x:v>Retain correction</x:v>
      </x:c>
      <x:c r="Q60" s="52" t="str">
        <x:v>Author/editor: mathematics and inference; collective bodies: actual rules.</x:v>
      </x:c>
    </x:row>
    <x:row r="61" ht="99" customHeight="1">
      <x:c r="A61" s="13" t="str">
        <x:v>P033</x:v>
      </x:c>
      <x:c r="B61" s="13" t="str">
        <x:v>E15</x:v>
      </x:c>
      <x:c r="C61" s="15" t="n">
        <x:v>1</x:v>
      </x:c>
      <x:c r="D61" s="31" t="n">
        <x:v>112</x:v>
      </x:c>
      <x:c r="E61" s="30" t="str">
        <x:v>A specific game is treated as all anonymous exchange</x:v>
      </x:c>
      <x:c r="F61" s="13" t="str">
        <x:v>dominant strategy is always defection</x:v>
      </x:c>
      <x:c r="G61" s="13" t="str">
        <x:v>Dominant defection follows from a particular payoff matrix, not merely from meeting a stranger online. Rules, contracts and preferences can alter the game.</x:v>
      </x:c>
      <x:c r="H61" s="13" t="str">
        <x:v>Name the prisoner’s-dilemma assumptions before using it, then state the analogy’s limits.</x:v>
      </x:c>
      <x:c r="I61" s="13" t="str">
        <x:v>Use the specific edit instruction; no substitute prose proposed.</x:v>
      </x:c>
      <x:c r="J61" s="13" t="str">
        <x:v>The value of repeated relationships.</x:v>
      </x:c>
      <x:c r="K61" s="13" t="str">
        <x:v>113, 116, 121</x:v>
      </x:c>
      <x:c r="L61" s="13" t="str">
        <x:v>The text does not infer a universal strategy from anonymity alone.</x:v>
      </x:c>
      <x:c r="M61" s="13" t="str">
        <x:v>Original text verified; editorial diagnosis. Research references: S20</x:v>
      </x:c>
      <x:c r="N61" s="14" t="str">
        <x:v>Unreviewed</x:v>
      </x:c>
      <x:c r="O61" s="14"/>
      <x:c r="P61" s="52" t="str">
        <x:v>Retain correction</x:v>
      </x:c>
      <x:c r="Q61" s="52" t="str">
        <x:v>Author/editor: mathematics and inference; collective bodies: actual rules.</x:v>
      </x:c>
    </x:row>
    <x:row r="62" ht="99" customHeight="1">
      <x:c r="A62" s="13" t="str">
        <x:v>P034</x:v>
      </x:c>
      <x:c r="B62" s="13" t="str">
        <x:v>E15</x:v>
      </x:c>
      <x:c r="C62" s="15" t="n">
        <x:v>1</x:v>
      </x:c>
      <x:c r="D62" s="31" t="n">
        <x:v>113</x:v>
      </x:c>
      <x:c r="E62" s="30" t="str">
        <x:v>A contingent tournament result becomes universal optimality</x:v>
      </x:c>
      <x:c r="F62" s="13" t="str">
        <x:v>The optimal strategy</x:v>
      </x:c>
      <x:c r="G62" s="13" t="str">
        <x:v>Repeated interaction alone does not make one strategy best across all payoffs, errors and populations. The listed forgiveness rule also needs definition.</x:v>
      </x:c>
      <x:c r="H62" s="13" t="str">
        <x:v>Describe tit-for-tat as an illustrative strategy under specified conditions, with noise, exploitation and repair considered.</x:v>
      </x:c>
      <x:c r="I62" s="13" t="str">
        <x:v>Use the specific edit instruction; no substitute prose proposed.</x:v>
      </x:c>
      <x:c r="J62" s="13" t="str">
        <x:v>Start cooperatively and allow relationships to recover.</x:v>
      </x:c>
      <x:c r="K62" s="13" t="str">
        <x:v>112–114</x:v>
      </x:c>
      <x:c r="L62" s="13" t="str">
        <x:v>The prose and formula avoid an unconditional optimality claim.</x:v>
      </x:c>
      <x:c r="M62" s="13" t="str">
        <x:v>Original text verified; editorial diagnosis. Research references: S20</x:v>
      </x:c>
      <x:c r="N62" s="14" t="str">
        <x:v>Unreviewed</x:v>
      </x:c>
      <x:c r="O62" s="14"/>
      <x:c r="P62" s="52" t="str">
        <x:v>Retain correction</x:v>
      </x:c>
      <x:c r="Q62" s="52" t="str">
        <x:v>Author/editor: mathematics and inference; collective bodies: actual rules.</x:v>
      </x:c>
    </x:row>
    <x:row r="63" ht="99" customHeight="1">
      <x:c r="A63" s="13" t="str">
        <x:v>P035</x:v>
      </x:c>
      <x:c r="B63" s="13" t="str">
        <x:v>E05</x:v>
      </x:c>
      <x:c r="C63" s="15" t="n">
        <x:v>0</x:v>
      </x:c>
      <x:c r="D63" s="31" t="n">
        <x:v>113</x:v>
      </x:c>
      <x:c r="E63" s="30" t="str">
        <x:v>The proposed commons reproduces the coercion it condemns</x:v>
      </x:c>
      <x:c r="F63" s="13" t="str">
        <x:v>social death</x:v>
      </x:c>
      <x:c r="G63" s="13" t="str">
        <x:v>Threatening loss of food and infrastructure to secure absolute compliance conflicts directly with unconditional support for the elder neighbor.</x:v>
      </x:c>
      <x:c r="H63" s="13" t="str">
        <x:v>Remove or recast endorsement of near-infinite deprivation as a compliance tool. Separate the descriptive forecast of coercion from the mutual-aid purpose. Leave actual allocation, protections and disputes to researched collective work.</x:v>
      </x:c>
      <x:c r="I63" s="13" t="str">
        <x:v>Coercive access may persist. The contribution I want to make is to expand people’s practical alternatives through useful labor and mutual aid.</x:v>
      </x:c>
      <x:c r="J63" s="13" t="str">
        <x:v>Accountability for conduct that harms others.</x:v>
      </x:c>
      <x:c r="K63" s="13" t="str">
        <x:v>122, 170–171, 244, 247; A04–A06</x:v>
      </x:c>
      <x:c r="L63" s="13" t="str">
        <x:v>The book no longer recommends depriving people of necessities as the mechanism that makes its mutual-aid ideal work. It does not need an author-written constitutional alternative.</x:v>
      </x:c>
      <x:c r="M63" s="13" t="str">
        <x:v>Original text verified; editorial diagnosis. Research references: no external source needed for this textual comparison.</x:v>
      </x:c>
      <x:c r="N63" s="14" t="str">
        <x:v>Unreviewed</x:v>
      </x:c>
      <x:c r="O63" s="14"/>
      <x:c r="P63" s="52" t="str">
        <x:v>Narrow claim; share decisions</x:v>
      </x:c>
      <x:c r="Q63" s="52" t="str">
        <x:v>Author/editor: remove contradiction. Affected public and informed specialists: develop actual arrangements.</x:v>
      </x:c>
    </x:row>
    <x:row r="64" ht="99" customHeight="1">
      <x:c r="A64" s="13" t="str">
        <x:v>P036</x:v>
      </x:c>
      <x:c r="B64" s="13" t="str">
        <x:v>E06</x:v>
      </x:c>
      <x:c r="C64" s="15" t="n">
        <x:v>1</x:v>
      </x:c>
      <x:c r="D64" s="31" t="n">
        <x:v>114</x:v>
      </x:c>
      <x:c r="E64" s="30" t="str">
        <x:v>A network topology becomes a guarantee of social resilience</x:v>
      </x:c>
      <x:c r="F64" s="13" t="str">
        <x:v>damage is a routing problem</x:v>
      </x:c>
      <x:c r="G64" s="13" t="str">
        <x:v>Alternative links do not eliminate common power failures, dominant operators, scarce supplies or correlated disasters.</x:v>
      </x:c>
      <x:c r="H64" s="13" t="str">
        <x:v>Explain what redundancy protects and what shared dependencies remain. Keep electrical, information and social networks analytically distinct.</x:v>
      </x:c>
      <x:c r="I64" s="13" t="str">
        <x:v>Use the specific edit instruction; no substitute prose proposed.</x:v>
      </x:c>
      <x:c r="J64" s="13" t="str">
        <x:v>Avoiding a single unnecessary point of failure.</x:v>
      </x:c>
      <x:c r="K64" s="13" t="str">
        <x:v>115–116, 124, 203, 230, 245</x:v>
      </x:c>
      <x:c r="L64" s="13" t="str">
        <x:v>The diagram names at least one correlated failure that routing cannot fix.</x:v>
      </x:c>
      <x:c r="M64" s="13" t="str">
        <x:v>Original text verified; editorial diagnosis. Research references: no external source needed for this textual comparison.</x:v>
      </x:c>
      <x:c r="N64" s="14" t="str">
        <x:v>Unreviewed</x:v>
      </x:c>
      <x:c r="O64" s="14"/>
      <x:c r="P64" s="52" t="str">
        <x:v>Redirect collective design</x:v>
      </x:c>
      <x:c r="Q64" s="52" t="str">
        <x:v>Author/editor: accurate framing. Institutions, specialists and affected public: governance design and decisions.</x:v>
      </x:c>
    </x:row>
    <x:row r="65" ht="99" customHeight="1">
      <x:c r="A65" s="13" t="str">
        <x:v>P037</x:v>
      </x:c>
      <x:c r="B65" s="13" t="str">
        <x:v>E15</x:v>
      </x:c>
      <x:c r="C65" s="15" t="n">
        <x:v>1</x:v>
      </x:c>
      <x:c r="D65" s="31" t="n">
        <x:v>114</x:v>
      </x:c>
      <x:c r="E65" s="30" t="str">
        <x:v>Dunbar’s estimate becomes a biological law</x:v>
      </x:c>
      <x:c r="F65" s="13" t="str">
        <x:v>hard-coded limit</x:v>
      </x:c>
      <x:c r="G65" s="13" t="str">
        <x:v>A contested population-level estimate is made a sharp threshold that allegedly forces centralization above 150.</x:v>
      </x:c>
      <x:c r="H65" s="13" t="str">
        <x:v>Treat small groups as a practical preference to test, not a hard brain ceiling. Explain federation using workload and accountability.</x:v>
      </x:c>
      <x:c r="I65" s="13" t="str">
        <x:v>Use the specific edit instruction; no substitute prose proposed.</x:v>
      </x:c>
      <x:c r="J65" s="13" t="str">
        <x:v>Manageable local groups connected to others.</x:v>
      </x:c>
      <x:c r="K65" s="13" t="str">
        <x:v>115, 244; S20</x:v>
      </x:c>
      <x:c r="L65" s="13" t="str">
        <x:v>No mandatory maximum or claim of inevitable collapse rests on 150.</x:v>
      </x:c>
      <x:c r="M65" s="13" t="str">
        <x:v>Original text verified; editorial diagnosis. Research references: S20</x:v>
      </x:c>
      <x:c r="N65" s="14" t="str">
        <x:v>Unreviewed</x:v>
      </x:c>
      <x:c r="O65" s="14"/>
      <x:c r="P65" s="52" t="str">
        <x:v>Retain correction</x:v>
      </x:c>
      <x:c r="Q65" s="52" t="str">
        <x:v>Author/editor: mathematics and inference; collective bodies: actual rules.</x:v>
      </x:c>
    </x:row>
    <x:row r="66" ht="99" customHeight="1">
      <x:c r="A66" s="13" t="str">
        <x:v>P038</x:v>
      </x:c>
      <x:c r="B66" s="13" t="str">
        <x:v>E28</x:v>
      </x:c>
      <x:c r="C66" s="15" t="n">
        <x:v>1</x:v>
      </x:c>
      <x:c r="D66" s="31" t="n">
        <x:v>115</x:v>
      </x:c>
      <x:c r="E66" s="30" t="str">
        <x:v>Energy sharing is described as plug-and-play routing</x:v>
      </x:c>
      <x:c r="F66" s="13" t="str">
        <x:v>automatically routed</x:v>
      </x:c>
      <x:c r="G66" s="13" t="str">
        <x:v>Surplus power does not follow the same rules as network packets. Protection, conversion, wiring limits and agreed control are absent.</x:v>
      </x:c>
      <x:c r="H66" s="13" t="str">
        <x:v>Recast as a designed microgrid example requiring a load budget and competent electrical design; remove automatic redistribution as a default behavior.</x:v>
      </x:c>
      <x:c r="I66" s="13" t="str">
        <x:v>Use the specific edit instruction; no substitute prose proposed.</x:v>
      </x:c>
      <x:c r="J66" s="13" t="str">
        <x:v>Sharing useful surplus across households.</x:v>
      </x:c>
      <x:c r="K66" s="13" t="str">
        <x:v>116, 154, 187, 233–241</x:v>
      </x:c>
      <x:c r="L66" s="13" t="str">
        <x:v>The reader cannot mistake the diagram for a complete inter-household wiring plan.</x:v>
      </x:c>
      <x:c r="M66" s="13" t="str">
        <x:v>Original text verified; editorial diagnosis. Research references: S10, S11</x:v>
      </x:c>
      <x:c r="N66" s="14" t="str">
        <x:v>Unreviewed</x:v>
      </x:c>
      <x:c r="O66" s="14"/>
      <x:c r="P66" s="52" t="str">
        <x:v>Refocus on mission</x:v>
      </x:c>
      <x:c r="Q66" s="52" t="str">
        <x:v>Author/editor: compatible task assumptions. Operators: actual network configuration.</x:v>
      </x:c>
    </x:row>
    <x:row r="67" ht="99" customHeight="1">
      <x:c r="A67" s="13" t="str">
        <x:v>P039</x:v>
      </x:c>
      <x:c r="B67" s="13" t="str">
        <x:v>E28</x:v>
      </x:c>
      <x:c r="C67" s="15" t="n">
        <x:v>1</x:v>
      </x:c>
      <x:c r="D67" s="31" t="n">
        <x:v>116</x:v>
      </x:c>
      <x:c r="E67" s="30" t="str">
        <x:v>Different radio capabilities are treated as interchangeable</x:v>
      </x:c>
      <x:c r="F67" s="13" t="str">
        <x:v>Wi-Fi or LoRa</x:v>
      </x:c>
      <x:c r="G67" s="13" t="str">
        <x:v>Short messages and local access to large document or model files have different bandwidth requirements. LoRa is not a substitute for every LAN function.</x:v>
      </x:c>
      <x:c r="H67" s="13" t="str">
        <x:v>Assign LoRa to compact requests/status messages; assign local file access to a suitable LAN. State that the archive is curated, not all human knowledge.</x:v>
      </x:c>
      <x:c r="I67" s="13" t="str">
        <x:v>Use the specific edit instruction; no substitute prose proposed.</x:v>
      </x:c>
      <x:c r="J67" s="13" t="str">
        <x:v>Offline access to useful shared information.</x:v>
      </x:c>
      <x:c r="K67" s="13" t="str">
        <x:v>170–171, 203, 230, 260; S10–S11</x:v>
      </x:c>
      <x:c r="L67" s="13" t="str">
        <x:v>The service diagram specifies what each link transports.</x:v>
      </x:c>
      <x:c r="M67" s="13" t="str">
        <x:v>Original text verified; editorial diagnosis. Research references: S10, S11</x:v>
      </x:c>
      <x:c r="N67" s="14" t="str">
        <x:v>Unreviewed</x:v>
      </x:c>
      <x:c r="O67" s="14"/>
      <x:c r="P67" s="52" t="str">
        <x:v>Refocus on mission</x:v>
      </x:c>
      <x:c r="Q67" s="52" t="str">
        <x:v>Author/editor: compatible task assumptions. Operators: actual network configuration.</x:v>
      </x:c>
    </x:row>
    <x:row r="68" ht="99" customHeight="1">
      <x:c r="A68" s="13" t="str">
        <x:v>P040</x:v>
      </x:c>
      <x:c r="B68" s="13" t="str">
        <x:v>E06</x:v>
      </x:c>
      <x:c r="C68" s="15" t="n">
        <x:v>1</x:v>
      </x:c>
      <x:c r="D68" s="31" t="n">
        <x:v>116</x:v>
      </x:c>
      <x:c r="E68" s="30" t="str">
        <x:v>Plain-language protocols are falsely opposed to legal protection</x:v>
      </x:c>
      <x:c r="F68" s="13" t="str">
        <x:v>Do not write a rigid, legalistic contract</x:v>
      </x:c>
      <x:c r="G68" s="13" t="str">
        <x:v>Later chapters rely on charters, trusts, liability rules and formal authority. Informality can also leave vulnerable members exposed.</x:v>
      </x:c>
      <x:c r="H68" s="13" t="str">
        <x:v>Drop the false choice between readable protocols and legal arrangements. Acknowledge that real groups need suitable agreements developed with relevant expertise; do not prescribe a universal structure.</x:v>
      </x:c>
      <x:c r="I68" s="13" t="str">
        <x:v>Treatment recommendation: Drop the false choice between readable protocols and legal arrangements. Acknowledge that real groups need suitable agreements developed with relevant expertise; do not prescribe a universal structure.</x:v>
      </x:c>
      <x:c r="J68" s="13" t="str">
        <x:v>Rules ordinary members can understand.</x:v>
      </x:c>
      <x:c r="K68" s="13" t="str">
        <x:v>121, 164–165, 244, 257–261</x:v>
      </x:c>
      <x:c r="L68" s="13" t="str">
        <x:v>The book can favor clear language without implying that contracts or institutional protections are unnecessary.</x:v>
      </x:c>
      <x:c r="M68" s="13" t="str">
        <x:v>Original text verified; editorial diagnosis. Research references: no external source needed for this textual comparison.</x:v>
      </x:c>
      <x:c r="N68" s="14" t="str">
        <x:v>Unreviewed</x:v>
      </x:c>
      <x:c r="O68" s="14"/>
      <x:c r="P68" s="52" t="str">
        <x:v>Redirect collective design</x:v>
      </x:c>
      <x:c r="Q68" s="52" t="str">
        <x:v>Author/editor: accurate framing. Institutions, specialists and affected public: governance design and decisions.</x:v>
      </x:c>
    </x:row>
    <x:row r="69" ht="99" customHeight="1">
      <x:c r="A69" s="13" t="str">
        <x:v>P126</x:v>
      </x:c>
      <x:c r="B69" s="13" t="str">
        <x:v>E35</x:v>
      </x:c>
      <x:c r="C69" s="15" t="n">
        <x:v>1</x:v>
      </x:c>
      <x:c r="D69" s="31" t="n">
        <x:v>117</x:v>
      </x:c>
      <x:c r="E69" s="30" t="str">
        <x:v>A famous PR campaign is not proof of unlimited mind control</x:v>
      </x:c>
      <x:c r="F69" s="13" t="str">
        <x:v>Precedent P-11: Torches of Freedom (New York, 1929)</x:v>
      </x:c>
      <x:c r="G69" s="13" t="str">
        <x:v>A constructed publicity event can illustrate persuasion without establishing that people’s beliefs are programmable or that all publicity claims about its impact are accurate.</x:v>
      </x:c>
      <x:c r="H69" s="13" t="str">
        <x:v>Check the event and attribution of public-relations terminology. A staged campaign does not establish every participant's motive or demonstrate that advertising controls belief completely. Make the modern takeaway no broader than the documented mechanism.</x:v>
      </x:c>
      <x:c r="I69" s="13" t="str">
        <x:v>Use the specific edit instruction; no substitute prose proposed.</x:v>
      </x:c>
      <x:c r="J69" s="13" t="str">
        <x:v>Incentives behind attention campaigns.</x:v>
      </x:c>
      <x:c r="K69" s="13" t="str">
        <x:v>P-11; Appendix D; associated chapter practice</x:v>
      </x:c>
      <x:c r="L69" s="13" t="str">
        <x:v>Quotations and outcomes are traced; the modern inference stays narrower than neurological control.</x:v>
      </x:c>
      <x:c r="M69" s="13" t="str">
        <x:v>Narrative reviewed; original-source verification remains open. See earlier historical review; primary-source verification remains open.</x:v>
      </x:c>
      <x:c r="N69" s="14" t="str">
        <x:v>Unreviewed</x:v>
      </x:c>
      <x:c r="O69" s="14"/>
      <x:c r="P69" s="52" t="str">
        <x:v>Retain correction</x:v>
      </x:c>
      <x:c r="Q69" s="52" t="str">
        <x:v>Author/editor: sourced, limited historical analogies.</x:v>
      </x:c>
    </x:row>
    <x:row r="70" ht="99" customHeight="1">
      <x:c r="A70" s="13" t="str">
        <x:v>P058</x:v>
      </x:c>
      <x:c r="B70" s="13" t="str">
        <x:v>E21</x:v>
      </x:c>
      <x:c r="C70" s="15" t="n">
        <x:v>1</x:v>
      </x:c>
      <x:c r="D70" s="31" t="n">
        <x:v>130</x:v>
      </x:c>
      <x:c r="E70" s="30" t="str">
        <x:v>Closed-loop control is oversold as perfect cultivation</x:v>
      </x:c>
      <x:c r="F70" s="13" t="str">
        <x:v>perfect soil moisture</x:v>
      </x:c>
      <x:c r="G70" s="13" t="str">
        <x:v>Sensors can drift and actuators fail; a PID formula does not remove weather, soil variability or crop-specific needs.</x:v>
      </x:c>
      <x:c r="H70" s="13" t="str">
        <x:v>Replace perfect/no-waste language with a monitored cultivation task. Cross-reference the later sensor-calibration scene and identify what people still check; avoid implying whole-farm autonomy.</x:v>
      </x:c>
      <x:c r="I70" s="13" t="str">
        <x:v>Use the specific edit instruction; no substitute prose proposed.</x:v>
      </x:c>
      <x:c r="J70" s="13" t="str">
        <x:v>Useful automation of repetitive garden tasks.</x:v>
      </x:c>
      <x:c r="K70" s="13" t="str">
        <x:v>207–208 sensor-humility scene; 131–134</x:v>
      </x:c>
      <x:c r="L70" s="13" t="str">
        <x:v>The automation claim is limited to the actual task and does not promise a complete food supply.</x:v>
      </x:c>
      <x:c r="M70" s="13" t="str">
        <x:v>Original text verified; editorial diagnosis. Research references: S16</x:v>
      </x:c>
      <x:c r="N70" s="14" t="str">
        <x:v>Unreviewed</x:v>
      </x:c>
      <x:c r="O70" s="14"/>
      <x:c r="P70" s="52" t="str">
        <x:v>Retain correction</x:v>
      </x:c>
      <x:c r="Q70" s="52" t="str">
        <x:v>Author/editor: story and scientific limits. Agricultural and environmental specialists: site and food-system work.</x:v>
      </x:c>
    </x:row>
    <x:row r="71" ht="99" customHeight="1">
      <x:c r="A71" s="13" t="str">
        <x:v>P059</x:v>
      </x:c>
      <x:c r="B71" s="13" t="str">
        <x:v>E41</x:v>
      </x:c>
      <x:c r="C71" s="15" t="n">
        <x:v>1</x:v>
      </x:c>
      <x:c r="D71" s="31" t="n">
        <x:v>130</x:v>
      </x:c>
      <x:c r="E71" s="30" t="str">
        <x:v>A versionless installation command will date quickly</x:v>
      </x:c>
      <x:c r="F71" s="13" t="str">
        <x:v>curl -sL</x:v>
      </x:c>
      <x:c r="G71" s="13" t="str">
        <x:v>The command fetches a moving branch and executes it. The stated OS, port and setup instructions need to match a tested release.</x:v>
      </x:c>
      <x:c r="H71" s="13" t="str">
        <x:v>Remove the unreviewed remote-install command if the section becomes conceptual. If a practical installation is retained, cite the exact maintained official procedure and explain its scope.</x:v>
      </x:c>
      <x:c r="I71" s="13" t="str">
        <x:v>Use the specific edit instruction; no substitute prose proposed.</x:v>
      </x:c>
      <x:c r="J71" s="13" t="str">
        <x:v>A discoverable route to try a real tool.</x:v>
      </x:c>
      <x:c r="K71" s="13" t="str">
        <x:v>158–161; Appendix B</x:v>
      </x:c>
      <x:c r="L71" s="13" t="str">
        <x:v>No incomplete shell shortcut is presented as a validated farming system.</x:v>
      </x:c>
      <x:c r="M71" s="13" t="str">
        <x:v>Source text verified; installation was not executed or verified in this review. This is a specific release-validation task.</x:v>
      </x:c>
      <x:c r="N71" s="14" t="str">
        <x:v>Unreviewed</x:v>
      </x:c>
      <x:c r="O71" s="14"/>
      <x:c r="P71" s="52" t="str">
        <x:v>Retain correction</x:v>
      </x:c>
      <x:c r="Q71" s="52" t="str">
        <x:v>Author/editor: dated source matching; no requirement to reproduce every frontier system.</x:v>
      </x:c>
    </x:row>
    <x:row r="72" ht="99" customHeight="1">
      <x:c r="A72" s="13" t="str">
        <x:v>P060</x:v>
      </x:c>
      <x:c r="B72" s="13" t="str">
        <x:v>E21</x:v>
      </x:c>
      <x:c r="C72" s="15" t="n">
        <x:v>1</x:v>
      </x:c>
      <x:c r="D72" s="31" t="n">
        <x:v>131</x:v>
      </x:c>
      <x:c r="E72" s="30" t="str">
        <x:v>Efficiency gains become elimination of physical losses</x:v>
      </x:c>
      <x:c r="F72" s="13" t="str">
        <x:v>eliminating evaporation losses</x:v>
      </x:c>
      <x:c r="G72" s="13" t="str">
        <x:v>Targeted irrigation can reduce waste without abolishing evaporation, weeds or every other loss.</x:v>
      </x:c>
      <x:c r="H72" s="13" t="str">
        <x:v>Use reduces rather than eliminates, and specify the baseline and conditions for numerical yield or water claims.</x:v>
      </x:c>
      <x:c r="I72" s="13" t="str">
        <x:v>Use the specific edit instruction; no substitute prose proposed.</x:v>
      </x:c>
      <x:c r="J72" s="13" t="str">
        <x:v>Coordinate-based tending and efficient use of space.</x:v>
      </x:c>
      <x:c r="K72" s="13" t="str">
        <x:v>130–132, 169–170, 240</x:v>
      </x:c>
      <x:c r="L72" s="13" t="str">
        <x:v>No universal yield or loss-free claim substitutes for crop- and site-specific measurement.</x:v>
      </x:c>
      <x:c r="M72" s="13" t="str">
        <x:v>Original text verified; editorial diagnosis. Research references: S16</x:v>
      </x:c>
      <x:c r="N72" s="14" t="str">
        <x:v>Unreviewed</x:v>
      </x:c>
      <x:c r="O72" s="14"/>
      <x:c r="P72" s="52" t="str">
        <x:v>Retain correction</x:v>
      </x:c>
      <x:c r="Q72" s="52" t="str">
        <x:v>Author/editor: story and scientific limits. Agricultural and environmental specialists: site and food-system work.</x:v>
      </x:c>
    </x:row>
    <x:row r="73" ht="99" customHeight="1">
      <x:c r="A73" s="13" t="str">
        <x:v>P061</x:v>
      </x:c>
      <x:c r="B73" s="13" t="str">
        <x:v>E20</x:v>
      </x:c>
      <x:c r="C73" s="15" t="n">
        <x:v>0</x:v>
      </x:c>
      <x:c r="D73" s="31" t="n">
        <x:v>132</x:v>
      </x:c>
      <x:c r="E73" s="30" t="str">
        <x:v>Dissolved oxygen is falsely treated as a pathogen safety switch</x:v>
      </x:c>
      <x:c r="F73" s="13" t="str">
        <x:v>6.0 mg/L</x:v>
      </x:c>
      <x:c r="G73" s="13" t="str">
        <x:v>The prose implies that staying above one oxygen value makes a food-related brew safe. The cited research does not support that guarantee.</x:v>
      </x:c>
      <x:c r="H73" s="13" t="str">
        <x:v>Remove oxygen as a pathogen-safety switch from prose, graphic and caption. Replace the recipe with an explanation of monitoring roles and identify food-safety protocol work as an institutional and specialist responsibility.</x:v>
      </x:c>
      <x:c r="I73" s="13" t="str">
        <x:v>Treatment recommendation: Remove oxygen as a pathogen-safety switch from prose, graphic and caption. Replace the recipe with an explanation of monitoring roles and identify food-safety protocol work as an institutional and specialist responsibility.</x:v>
      </x:c>
      <x:c r="J73" s="13" t="str">
        <x:v>Care for soil biology and understandable process monitoring.</x:v>
      </x:c>
      <x:c r="K73" s="13" t="str">
        <x:v>133–134, 116, 259; S13</x:v>
      </x:c>
      <x:c r="L73" s="13" t="str">
        <x:v>Neither aeration nor an oxygen reading is offered as proof that a food-production treatment is safe. No new protocol must be invented by the author.</x:v>
      </x:c>
      <x:c r="M73" s="13" t="str">
        <x:v>Original text verified; editorial diagnosis. Research references: S13, S14</x:v>
      </x:c>
      <x:c r="N73" s="14" t="str">
        <x:v>Unreviewed</x:v>
      </x:c>
      <x:c r="O73" s="14"/>
      <x:c r="P73" s="52" t="str">
        <x:v>Convert prescription to concept</x:v>
      </x:c>
      <x:c r="Q73" s="52" t="str">
        <x:v>Author/editor: correct published claims. Food-safety organizations and qualified partners: protocol development and implementation.</x:v>
      </x:c>
    </x:row>
    <x:row r="74" ht="99" customHeight="1">
      <x:c r="A74" s="13" t="str">
        <x:v>P062</x:v>
      </x:c>
      <x:c r="B74" s="13" t="str">
        <x:v>E20</x:v>
      </x:c>
      <x:c r="C74" s="15" t="n">
        <x:v>0</x:v>
      </x:c>
      <x:c r="D74" s="31" t="n">
        <x:v>132</x:v>
      </x:c>
      <x:c r="E74" s="30" t="str">
        <x:v>The oxygen diagram contradicts its worked calculation</x:v>
      </x:c>
      <x:c r="F74" s="13" t="str">
        <x:v>15°C → 9.1</x:v>
      </x:c>
      <x:c r="G74" s="13" t="str">
        <x:v>Using the printed equation gives about 10.04 at 15°C, while the diagram says 9.1. Correct arithmetic alone still would not validate the safety claim.</x:v>
      </x:c>
      <x:c r="H74" s="13" t="str">
        <x:v>Correct and source the limited oxygen illustration if it remains, or remove it with the prescriptive recipe. Do not retain it as a safety threshold.</x:v>
      </x:c>
      <x:c r="I74" s="13" t="str">
        <x:v>Use the specific edit instruction; no substitute prose proposed.</x:v>
      </x:c>
      <x:c r="J74" s="13" t="str">
        <x:v>Showing assumptions and units.</x:v>
      </x:c>
      <x:c r="K74" s="13" t="str">
        <x:v>133 calculation and 35°C case; E20</x:v>
      </x:c>
      <x:c r="L74" s="13" t="str">
        <x:v>Any retained numbers agree with one stated illustrative model and make no pathogen guarantee.</x:v>
      </x:c>
      <x:c r="M74" s="13" t="str">
        <x:v>Original text verified; editorial diagnosis. Research references: S13, S14</x:v>
      </x:c>
      <x:c r="N74" s="14" t="str">
        <x:v>Unreviewed</x:v>
      </x:c>
      <x:c r="O74" s="14"/>
      <x:c r="P74" s="52" t="str">
        <x:v>Convert prescription to concept</x:v>
      </x:c>
      <x:c r="Q74" s="52" t="str">
        <x:v>Author/editor: correct published claims. Food-safety organizations and qualified partners: protocol development and implementation.</x:v>
      </x:c>
    </x:row>
    <x:row r="75" ht="99" customHeight="1">
      <x:c r="A75" s="13" t="str">
        <x:v>P063</x:v>
      </x:c>
      <x:c r="B75" s="13" t="str">
        <x:v>E20</x:v>
      </x:c>
      <x:c r="C75" s="15" t="n">
        <x:v>0</x:v>
      </x:c>
      <x:c r="D75" s="31" t="n">
        <x:v>133</x:v>
      </x:c>
      <x:c r="E75" s="30" t="str">
        <x:v>Water preparation assumes all disinfectants behave alike</x:v>
      </x:c>
      <x:c r="F75" s="13" t="str">
        <x:v>4 hours</x:v>
      </x:c>
      <x:c r="G75" s="13" t="str">
        <x:v>A fixed aeration period is presented as complete sanitant removal. Chloramine requires different consideration from free chlorine.</x:v>
      </x:c>
      <x:c r="H75" s="13" t="str">
        <x:v>Remove the universal four-hour treatment instruction. The concept can acknowledge source-water variation; a retained real protocol needs applicable specialist guidance.</x:v>
      </x:c>
      <x:c r="I75" s="13" t="str">
        <x:v>Treatment recommendation: Remove the universal four-hour treatment instruction. The concept can acknowledge source-water variation; a retained real protocol needs applicable specialist guidance.</x:v>
      </x:c>
      <x:c r="J75" s="13" t="str">
        <x:v>Readers checking the inputs to a biological process.</x:v>
      </x:c>
      <x:c r="K75" s="13" t="str">
        <x:v>132–134; S14</x:v>
      </x:c>
      <x:c r="L75" s="13" t="str">
        <x:v>The book either omits the instruction or uses directly applicable support, without assigning water-treatment design to the author.</x:v>
      </x:c>
      <x:c r="M75" s="13" t="str">
        <x:v>Original text verified; editorial diagnosis. Research references: S13, S14</x:v>
      </x:c>
      <x:c r="N75" s="14" t="str">
        <x:v>Unreviewed</x:v>
      </x:c>
      <x:c r="O75" s="14"/>
      <x:c r="P75" s="52" t="str">
        <x:v>Convert prescription to concept</x:v>
      </x:c>
      <x:c r="Q75" s="52" t="str">
        <x:v>Author/editor: correct published claims. Food-safety organizations and qualified partners: protocol development and implementation.</x:v>
      </x:c>
    </x:row>
    <x:row r="76" ht="99" customHeight="1">
      <x:c r="A76" s="13" t="str">
        <x:v>P064</x:v>
      </x:c>
      <x:c r="B76" s="13" t="str">
        <x:v>E20</x:v>
      </x:c>
      <x:c r="C76" s="15" t="n">
        <x:v>0</x:v>
      </x:c>
      <x:c r="D76" s="31" t="n">
        <x:v>134</x:v>
      </x:c>
      <x:c r="E76" s="30" t="str">
        <x:v>The foliar-use instruction needs separate food-safety review</x:v>
      </x:c>
      <x:c r="F76" s="13" t="str">
        <x:v>sprayed directly onto crop leaves</x:v>
      </x:c>
      <x:c r="G76" s="13" t="str">
        <x:v>Adding microbial foods and spraying a homemade brew on crops is a consequential exposure route; favorable soil biology is not evidence of food safety.</x:v>
      </x:c>
      <x:c r="H76" s="13" t="str">
        <x:v>Remove the unsupported edible-crop foliar-use recommendation from recipe and graphics. Describe the broader cultivation opportunity without prescribing this application.</x:v>
      </x:c>
      <x:c r="I76" s="13" t="str">
        <x:v>Treatment recommendation: Remove the unsupported edible-crop foliar-use recommendation from recipe and graphics. Describe the broader cultivation opportunity without prescribing this application.</x:v>
      </x:c>
      <x:c r="J76" s="13" t="str">
        <x:v>The goal of healthy, productive soil.</x:v>
      </x:c>
      <x:c r="K76" s="13" t="str">
        <x:v>132–134 recipe; 116, 259; S13</x:v>
      </x:c>
      <x:c r="L76" s="13" t="str">
        <x:v>No unsupported food-use direction survives as an actionable instruction; a general disclaimer alone is insufficient.</x:v>
      </x:c>
      <x:c r="M76" s="13" t="str">
        <x:v>Original text verified; editorial diagnosis. Research references: S13, S14</x:v>
      </x:c>
      <x:c r="N76" s="14" t="str">
        <x:v>Unreviewed</x:v>
      </x:c>
      <x:c r="O76" s="14"/>
      <x:c r="P76" s="52" t="str">
        <x:v>Convert prescription to concept</x:v>
      </x:c>
      <x:c r="Q76" s="52" t="str">
        <x:v>Author/editor: correct published claims. Food-safety organizations and qualified partners: protocol development and implementation.</x:v>
      </x:c>
    </x:row>
    <x:row r="77" ht="99" customHeight="1">
      <x:c r="A77" s="13" t="str">
        <x:v>P065</x:v>
      </x:c>
      <x:c r="B77" s="13" t="str">
        <x:v>E16</x:v>
      </x:c>
      <x:c r="C77" s="15" t="n">
        <x:v>1</x:v>
      </x:c>
      <x:c r="D77" s="31" t="n">
        <x:v>134</x:v>
      </x:c>
      <x:c r="E77" s="30" t="str">
        <x:v>The closed-loop claim hides imported dependencies</x:v>
      </x:c>
      <x:c r="F77" s="13" t="str">
        <x:v>completely disconnected</x:v>
      </x:c>
      <x:c r="G77" s="13" t="str">
        <x:v>The system still relies on hardware, replacement parts, energy storage, materials and potentially nutrient inputs. Autonomy is a degree of resilience, not demonstrated independence.</x:v>
      </x:c>
      <x:c r="H77" s="13" t="str">
        <x:v>Account for nutrient exports and external inputs. Correct the page 128 grouping of nitrogen-fixing bacteria with mycorrhizae, and narrow claims that synthetic nutrients universally destroy soil. Use agricultural evidence rather than a closed-loop guarantee.</x:v>
      </x:c>
      <x:c r="I77" s="13" t="str">
        <x:v>Use the specific edit instruction; no substitute prose proposed.</x:v>
      </x:c>
      <x:c r="J77" s="13" t="str">
        <x:v>The regional-resilience passage on page 124.</x:v>
      </x:c>
      <x:c r="K77" s="13" t="str">
        <x:v>115–116, 123–125, 200, 238–240</x:v>
      </x:c>
      <x:c r="L77" s="13" t="str">
        <x:v>The book distinguishes nutrient cycling, nitrogen fixation and replacing exported nutrients; it claims no input-free indefinite food production.</x:v>
      </x:c>
      <x:c r="M77" s="13" t="str">
        <x:v>Original text verified; editorial diagnosis. Research references: no external source needed for this textual comparison. New scope check: pp. 127–128; N05 (UMN Extension), September 21, 2026.</x:v>
      </x:c>
      <x:c r="N77" s="14" t="str">
        <x:v>Unreviewed</x:v>
      </x:c>
      <x:c r="O77" s="14"/>
      <x:c r="P77" s="52" t="str">
        <x:v>Refocus on mission</x:v>
      </x:c>
      <x:c r="Q77" s="52" t="str">
        <x:v>Author/editor: bounded resilience claims; project partners: actual continuity planning.</x:v>
      </x:c>
    </x:row>
    <x:row r="78" ht="99" customHeight="1">
      <x:c r="A78" s="13" t="str">
        <x:v>P127</x:v>
      </x:c>
      <x:c r="B78" s="13" t="str">
        <x:v>E35</x:v>
      </x:c>
      <x:c r="C78" s="15" t="n">
        <x:v>1</x:v>
      </x:c>
      <x:c r="D78" s="31" t="n">
        <x:v>135</x:v>
      </x:c>
      <x:c r="E78" s="30" t="str">
        <x:v>Bronze Age collapse is not one universal supply-chain switch</x:v>
      </x:c>
      <x:c r="F78" s="13" t="str">
        <x:v>Precedent P-12: The Year the Bronze Stopped (Eastern Mediterranean,</x:v>
      </x:c>
      <x:c r="G78" s="13" t="str">
        <x:v>Regional variation, multiple pressures and chronology matter. A dramatic date must not carry a single-cause story of collapse.</x:v>
      </x:c>
      <x:c r="H78" s="13" t="str">
        <x:v>Treat a complex regional transition with suitable chronology and evidence. Distinguish vulnerabilities of interconnected systems from proof that all centralization fails or all local systems survive. Make the modern takeaway no broader than the documented mechanism.</x:v>
      </x:c>
      <x:c r="I78" s="13" t="str">
        <x:v>Use the specific edit instruction; no substitute prose proposed.</x:v>
      </x:c>
      <x:c r="J78" s="13" t="str">
        <x:v>Interdependence and the value of buffers.</x:v>
      </x:c>
      <x:c r="K78" s="13" t="str">
        <x:v>P-12; Appendix D; associated chapter practice</x:v>
      </x:c>
      <x:c r="L78" s="13" t="str">
        <x:v>The analogy distinguishes a useful mechanism from a complete historical explanation.</x:v>
      </x:c>
      <x:c r="M78" s="13" t="str">
        <x:v>Narrative reviewed; original-source verification remains open. See earlier historical review; primary-source verification remains open.</x:v>
      </x:c>
      <x:c r="N78" s="14" t="str">
        <x:v>Unreviewed</x:v>
      </x:c>
      <x:c r="O78" s="14"/>
      <x:c r="P78" s="52" t="str">
        <x:v>Retain correction</x:v>
      </x:c>
      <x:c r="Q78" s="52" t="str">
        <x:v>Author/editor: sourced, limited historical analogies.</x:v>
      </x:c>
    </x:row>
    <x:row r="79" ht="99" customHeight="1">
      <x:c r="A79" s="13" t="str">
        <x:v>P042</x:v>
      </x:c>
      <x:c r="B79" s="13" t="str">
        <x:v>E09</x:v>
      </x:c>
      <x:c r="C79" s="15" t="n">
        <x:v>1</x:v>
      </x:c>
      <x:c r="D79" s="31" t="n">
        <x:v>138</x:v>
      </x:c>
      <x:c r="E79" s="30" t="str">
        <x:v>Productivity becomes a condition of deserving survival</x:v>
      </x:c>
      <x:c r="F79" s="13" t="str">
        <x:v>create more than you consume</x:v>
      </x:c>
      <x:c r="G79" s="13" t="str">
        <x:v>A single ratio dividing survivors from the drowning clashes with the stated goal of freeing people from compulsory labor. Consumption and creation are not defined or commensurable here.</x:v>
      </x:c>
      <x:c r="H79" s="13" t="str">
        <x:v>Present creating as a useful option, not a test of human worth. Explicitly include care, rest, art, receiving help and life with disability.</x:v>
      </x:c>
      <x:c r="I79" s="13" t="str">
        <x:v>Use the specific edit instruction; no substitute prose proposed.</x:v>
      </x:c>
      <x:c r="J79" s="13" t="str">
        <x:v>A turn from passive anxiety to meaningful agency.</x:v>
      </x:c>
      <x:c r="K79" s="13" t="str">
        <x:v>141, 170–171, 248, conclusion; A06</x:v>
      </x:c>
      <x:c r="L79" s="13" t="str">
        <x:v>The advice remains usable by someone who cannot produce an economic surplus.</x:v>
      </x:c>
      <x:c r="M79" s="13" t="str">
        <x:v>Original text verified; editorial diagnosis. Research references: no external source needed for this textual comparison.</x:v>
      </x:c>
      <x:c r="N79" s="14" t="str">
        <x:v>Unreviewed</x:v>
      </x:c>
      <x:c r="O79" s="14"/>
      <x:c r="P79" s="52" t="str">
        <x:v>Refocus on mission</x:v>
      </x:c>
      <x:c r="Q79" s="52" t="str">
        <x:v>Author/editor: reader routes and dignity.</x:v>
      </x:c>
    </x:row>
    <x:row r="80" ht="99" customHeight="1">
      <x:c r="A80" s="13" t="str">
        <x:v>P043</x:v>
      </x:c>
      <x:c r="B80" s="13" t="str">
        <x:v>E09</x:v>
      </x:c>
      <x:c r="C80" s="15" t="n">
        <x:v>1</x:v>
      </x:c>
      <x:c r="D80" s="31" t="n">
        <x:v>141</x:v>
      </x:c>
      <x:c r="E80" s="30" t="str">
        <x:v>The first action need not require a purchase</x:v>
      </x:c>
      <x:c r="F80" s="13" t="str">
        <x:v>Buy a 50-watt solar panel</x:v>
      </x:c>
      <x:c r="G80" s="13" t="str">
        <x:v>The universal opening assignment asks for money and electrical assembly before assessing need, capacity or existing community resources.</x:v>
      </x:c>
      <x:c r="H80" s="13" t="str">
        <x:v>Make buying a 50-watt panel an optional energy-learning example. Offer an existing garden, task log, conversation or borrowed-tool route into the food-first mission.</x:v>
      </x:c>
      <x:c r="I80" s="13" t="str">
        <x:v>Use the specific edit instruction; no substitute prose proposed.</x:v>
      </x:c>
      <x:c r="J80" s="13" t="str">
        <x:v>Hands-on learning with visible results.</x:v>
      </x:c>
      <x:c r="K80" s="13" t="str">
        <x:v>171–175, 233–241; A08</x:v>
      </x:c>
      <x:c r="L80" s="13" t="str">
        <x:v>The first step does not require a purchase or a move toward total energy independence.</x:v>
      </x:c>
      <x:c r="M80" s="13" t="str">
        <x:v>Original text verified; editorial diagnosis. Research references: no external source needed for this textual comparison.</x:v>
      </x:c>
      <x:c r="N80" s="14" t="str">
        <x:v>Unreviewed</x:v>
      </x:c>
      <x:c r="O80" s="14"/>
      <x:c r="P80" s="52" t="str">
        <x:v>Refocus on mission</x:v>
      </x:c>
      <x:c r="Q80" s="52" t="str">
        <x:v>Author/editor: reader routes and dignity.</x:v>
      </x:c>
    </x:row>
    <x:row r="81" ht="99" customHeight="1">
      <x:c r="A81" s="13" t="str">
        <x:v>P044</x:v>
      </x:c>
      <x:c r="B81" s="13" t="str">
        <x:v>E09</x:v>
      </x:c>
      <x:c r="C81" s="15" t="n">
        <x:v>1</x:v>
      </x:c>
      <x:c r="D81" s="31" t="n">
        <x:v>141</x:v>
      </x:c>
      <x:c r="E81" s="30" t="str">
        <x:v>Physical presence is used as a proxy for usefulness</x:v>
      </x:c>
      <x:c r="F81" s="13" t="str">
        <x:v>You will not find these people on a screen</x:v>
      </x:c>
      <x:c r="G81" s="13" t="str">
        <x:v>Online coordination, remote expertise and assistive technology contribute to the very projects later celebrated in the book.</x:v>
      </x:c>
      <x:c r="H81" s="13" t="str">
        <x:v>Keep the invitation to tangible work but recognize useful digital coordination, planning and documentation. Add a brief ordinary-litter task if used here; connect it to proper existing disposal rather than a complete waste-processing system. Use the author’s cleanup proposal to distinguish service from punishment; a piece of litter does not by itself establish deliberate misconduct.</x:v>
      </x:c>
      <x:c r="I81" s="13" t="str">
        <x:v>Use the specific edit instruction; no substitute prose proposed.</x:v>
      </x:c>
      <x:c r="J81" s="13" t="str">
        <x:v>Relationships built through doing things together.</x:v>
      </x:c>
      <x:c r="K81" s="13" t="str">
        <x:v>140, 153, 238–240; A06</x:v>
      </x:c>
      <x:c r="L81" s="13" t="str">
        <x:v>The reader sees a concrete contribution without being told that screen work, limited mobility or inability to perform cleanup makes them useless.</x:v>
      </x:c>
      <x:c r="M81" s="13" t="str">
        <x:v>Original text verified; editorial diagnosis. Research references: no external source needed for this textual comparison.</x:v>
      </x:c>
      <x:c r="N81" s="14" t="str">
        <x:v>Unreviewed</x:v>
      </x:c>
      <x:c r="O81" s="14"/>
      <x:c r="P81" s="52" t="str">
        <x:v>Refocus on mission</x:v>
      </x:c>
      <x:c r="Q81" s="52" t="str">
        <x:v>Author/editor: reader routes and dignity.</x:v>
      </x:c>
    </x:row>
    <x:row r="82" ht="99" customHeight="1">
      <x:c r="A82" s="13" t="str">
        <x:v>P149</x:v>
      </x:c>
      <x:c r="B82" s="13" t="str">
        <x:v>E12</x:v>
      </x:c>
      <x:c r="C82" s="15" t="n">
        <x:v>1</x:v>
      </x:c>
      <x:c r="D82" s="31" t="n">
        <x:v>142</x:v>
      </x:c>
      <x:c r="E82" s="30" t="str">
        <x:v>The definition changes when the rhetorical target changes</x:v>
      </x:c>
      <x:c r="F82" s="13" t="str">
        <x:v>not an intelligence</x:v>
      </x:c>
      <x:c r="G82" s="13" t="str">
        <x:v>Models are dismissed as statistical mirrors here but relied on for reasoning, coordination and design elsewhere. Statistical training does not by itself settle a functional definition.</x:v>
      </x:c>
      <x:c r="H82" s="13" t="str">
        <x:v>Use one capability-based vocabulary throughout. Describe limitations without denying the capabilities that later examples require.</x:v>
      </x:c>
      <x:c r="I82" s="13" t="str">
        <x:v>Use the specific edit instruction; no substitute prose proposed.</x:v>
      </x:c>
      <x:c r="J82" s="13" t="str">
        <x:v>Critical scrutiny of synthetic content.</x:v>
      </x:c>
      <x:c r="K82" s="13" t="str">
        <x:v>28, 153–161, 287</x:v>
      </x:c>
      <x:c r="L82" s="13" t="str">
        <x:v>The same behavior receives the same description whether the model is local or corporate.</x:v>
      </x:c>
      <x:c r="M82" s="13" t="str">
        <x:v>Original text verified; editorial diagnosis. Research references: S01, S03</x:v>
      </x:c>
      <x:c r="N82" s="14" t="str">
        <x:v>Unreviewed</x:v>
      </x:c>
      <x:c r="O82" s="14"/>
      <x:c r="P82" s="52" t="str">
        <x:v>Retain correction</x:v>
      </x:c>
      <x:c r="Q82" s="52" t="str">
        <x:v>Author/editor: accurate claim-to-source matching.</x:v>
      </x:c>
    </x:row>
    <x:row r="83" ht="99" customHeight="1">
      <x:c r="A83" s="13" t="str">
        <x:v>P150</x:v>
      </x:c>
      <x:c r="B83" s="13" t="str">
        <x:v>E13</x:v>
      </x:c>
      <x:c r="C83" s="15" t="n">
        <x:v>1</x:v>
      </x:c>
      <x:c r="D83" s="31" t="n">
        <x:v>143</x:v>
      </x:c>
      <x:c r="E83" s="30" t="str">
        <x:v>A conditional failure mode becomes inevitable collapse</x:v>
      </x:c>
      <x:c r="F83" s="13" t="str">
        <x:v>Every time a model is trained on synthetic data</x:v>
      </x:c>
      <x:c r="G83" s="13" t="str">
        <x:v>The text generalizes across all synthetic-data training and adds equations that imply universal convergence to a generic output. Retaining real data changes the research question.</x:v>
      </x:c>
      <x:c r="H83" s="13" t="str">
        <x:v>Specify the experimental setup and acknowledge relevant retained-data counterexamples. Revise the spiral diagram and remove the inference that human authenticity guarantees income.</x:v>
      </x:c>
      <x:c r="I83" s="13" t="str">
        <x:v>Use the specific edit instruction; no substitute prose proposed.</x:v>
      </x:c>
      <x:c r="J83" s="13" t="str">
        <x:v>Data provenance and the value of firsthand observations.</x:v>
      </x:c>
      <x:c r="K83" s="13" t="str">
        <x:v>138, 145, 222, 246; S06–S07</x:v>
      </x:c>
      <x:c r="L83" s="13" t="str">
        <x:v>Training conditions, claims and diagrams match the cited results; income remains a separate uncertain outcome.</x:v>
      </x:c>
      <x:c r="M83" s="13" t="str">
        <x:v>Original text verified; editorial diagnosis. Research references: S06, S07</x:v>
      </x:c>
      <x:c r="N83" s="14" t="str">
        <x:v>Unreviewed</x:v>
      </x:c>
      <x:c r="O83" s="14"/>
      <x:c r="P83" s="52" t="str">
        <x:v>Retain correction</x:v>
      </x:c>
      <x:c r="Q83" s="52" t="str">
        <x:v>Author/editor: scientific and economic scope.</x:v>
      </x:c>
    </x:row>
    <x:row r="84" ht="99" customHeight="1">
      <x:c r="A84" s="13" t="str">
        <x:v>P041</x:v>
      </x:c>
      <x:c r="B84" s="13" t="str">
        <x:v>E14</x:v>
      </x:c>
      <x:c r="C84" s="15" t="n">
        <x:v>1</x:v>
      </x:c>
      <x:c r="D84" s="31" t="n">
        <x:v>145</x:v>
      </x:c>
      <x:c r="E84" s="30" t="str">
        <x:v>The recommended promotion method recreates the attention harm</x:v>
      </x:c>
      <x:c r="F84" s="13" t="str">
        <x:v>OUTRAGE / TRAGEDY</x:v>
      </x:c>
      <x:c r="G84" s="13" t="str">
        <x:v>The book criticizes outrage engineering, then recommends it as the route to useful content. The scene’s honest storytelling provides a better model.</x:v>
      </x:c>
      <x:c r="H84" s="13" t="str">
        <x:v>Change the pipeline to truthful, consent-based storytelling. Remove guaranteed virality and obtain consent before exposing neighbors’ difficulties.</x:v>
      </x:c>
      <x:c r="I84" s="13" t="str">
        <x:v>Use the specific edit instruction; no substitute prose proposed.</x:v>
      </x:c>
      <x:c r="J84" s="13" t="str">
        <x:v>Elijah’s practical work finding an audience.</x:v>
      </x:c>
      <x:c r="K84" s="13" t="str">
        <x:v>102, 138–140, 146, 224</x:v>
      </x:c>
      <x:c r="L84" s="13" t="str">
        <x:v>The sharing protocol does not require manipulation, humiliation or a promised platform outcome.</x:v>
      </x:c>
      <x:c r="M84" s="13" t="str">
        <x:v>Original text verified; editorial diagnosis. Research references: no external source needed for this textual comparison.</x:v>
      </x:c>
      <x:c r="N84" s="14" t="str">
        <x:v>Unreviewed</x:v>
      </x:c>
      <x:c r="O84" s="14"/>
      <x:c r="P84" s="52" t="str">
        <x:v>Retain correction</x:v>
      </x:c>
      <x:c r="Q84" s="52" t="str">
        <x:v>Author/editor: adaptable, appropriately sourced advice.</x:v>
      </x:c>
    </x:row>
    <x:row r="85" ht="99" customHeight="1">
      <x:c r="A85" s="13" t="str">
        <x:v>P128</x:v>
      </x:c>
      <x:c r="B85" s="13" t="str">
        <x:v>E35</x:v>
      </x:c>
      <x:c r="C85" s="15" t="n">
        <x:v>1</x:v>
      </x:c>
      <x:c r="D85" s="31" t="n">
        <x:v>147</x:v>
      </x:c>
      <x:c r="E85" s="30" t="str">
        <x:v>Using print while valuing manuscripts is not self-evident hypocrisy</x:v>
      </x:c>
      <x:c r="F85" s="13" t="str">
        <x:v>Precedent P-13: The Abbot’s Confession (Sponheim, 1492)</x:v>
      </x:c>
      <x:c r="G85" s="13" t="str">
        <x:v>Different media can serve different purposes. Adoption of one tool does not disprove every concern about it.</x:v>
      </x:c>
      <x:c r="H85" s="13" t="str">
        <x:v>Check editions and dates. Using print while valuing manuscript practice can reveal mixed priorities; it does not automatically invalidate the criticism. Recheck the separate assertion that there was no organized opposition to printing. Make the modern takeaway no broader than the documented mechanism.</x:v>
      </x:c>
      <x:c r="I85" s="13" t="str">
        <x:v>Use the specific edit instruction; no substitute prose proposed.</x:v>
      </x:c>
      <x:c r="J85" s="13" t="str">
        <x:v>Hybrid practices during transitions.</x:v>
      </x:c>
      <x:c r="K85" s="13" t="str">
        <x:v>P-13; Appendix D; associated chapter practice</x:v>
      </x:c>
      <x:c r="L85" s="13" t="str">
        <x:v>The practice asks which medium fits the task rather than diagnosing hypocrisy.</x:v>
      </x:c>
      <x:c r="M85" s="13" t="str">
        <x:v>Narrative reviewed; original-source verification remains open. See earlier historical review; primary-source verification remains open.</x:v>
      </x:c>
      <x:c r="N85" s="14" t="str">
        <x:v>Unreviewed</x:v>
      </x:c>
      <x:c r="O85" s="14"/>
      <x:c r="P85" s="52" t="str">
        <x:v>Retain correction</x:v>
      </x:c>
      <x:c r="Q85" s="52" t="str">
        <x:v>Author/editor: sourced, limited historical analogies.</x:v>
      </x:c>
    </x:row>
    <x:row r="86" ht="99" customHeight="1">
      <x:c r="A86" s="13" t="str">
        <x:v>P139</x:v>
      </x:c>
      <x:c r="B86" s="13" t="str">
        <x:v>E33</x:v>
      </x:c>
      <x:c r="C86" s="15" t="n">
        <x:v>2</x:v>
      </x:c>
      <x:c r="D86" s="31" t="n">
        <x:v>149</x:v>
      </x:c>
      <x:c r="E86" s="30" t="str">
        <x:v>The approved chapter title needs a complete propagation pass</x:v>
      </x:c>
      <x:c r="F86" s="13" t="str">
        <x:v>Chapter 11:</x:v>
      </x:c>
      <x:c r="G86" s="13" t="str">
        <x:v>The author’s selected title belongs in the chapter heading, contents and every named transition. Changing only the main heading leaves a visible discrepancy.</x:v>
      </x:c>
      <x:c r="H86" s="13" t="str">
        <x:v>Apply King and Queen of Your Own Robotic Court to all three identified title references, then use its opening to explain ordinary access to help without implying command over people.</x:v>
      </x:c>
      <x:c r="I86" s="13" t="str">
        <x:v>Use the specific edit instruction; no substitute prose proposed.</x:v>
      </x:c>
      <x:c r="J86" s="13" t="str">
        <x:v>The memorable title and the Crucible privacy-breach story.</x:v>
      </x:c>
      <x:c r="K86" s="13" t="str">
        <x:v>Contents, 147 transition, 149; A02</x:v>
      </x:c>
      <x:c r="L86" s="13" t="str">
        <x:v>Heading, navigation and cross-references agree; metaphor means agency with tools.</x:v>
      </x:c>
      <x:c r="M86" s="13" t="str">
        <x:v>Original text verified; editorial diagnosis. Research references: no external source needed for this textual comparison.</x:v>
      </x:c>
      <x:c r="N86" s="14" t="str">
        <x:v>Unreviewed</x:v>
      </x:c>
      <x:c r="O86" s="14"/>
      <x:c r="P86" s="52" t="str">
        <x:v>Retain correction</x:v>
      </x:c>
      <x:c r="Q86" s="52" t="str">
        <x:v>Author/editor and production: title propagation.</x:v>
      </x:c>
    </x:row>
    <x:row r="87" ht="102" customHeight="1">
      <x:c r="A87" s="13" t="str">
        <x:v>P153</x:v>
      </x:c>
      <x:c r="B87" s="13" t="str">
        <x:v>E43</x:v>
      </x:c>
      <x:c r="C87" s="15" t="n">
        <x:v>1</x:v>
      </x:c>
      <x:c r="D87" s="31" t="n">
        <x:v>149</x:v>
      </x:c>
      <x:c r="E87" s="30" t="str">
        <x:v>The robotic-court chapter needs an idea-to-result spine</x:v>
      </x:c>
      <x:c r="F87" s="13" t="str">
        <x:v>Using the Tech to Your Advantage</x:v>
      </x:c>
      <x:c r="G87" s="13" t="str">
        <x:v>The new title promises agency, but a hardware-first chapter does not yet show how an ordinary need becomes a verified useful outcome.</x:v>
      </x:c>
      <x:c r="H87" s="13" t="str">
        <x:v>Build a short sequence around food assistance: need, bounded task, appropriate tools, human and machine roles, execution and checked result. Develop grandma as the later land-care/access example and add ordinary trash cleanup before shelter in the application roadmap. Proposed addition: briefly address dependency, WALL-E, existing methods and jobs. Keep relief from drudgery compatible with meaningful participation and evaluate robots against simpler alternatives.</x:v>
      </x:c>
      <x:c r="I87" s="13" t="str">
        <x:v>Use the specific edit instruction; no substitute prose proposed.</x:v>
      </x:c>
      <x:c r="J87" s="13" t="str">
        <x:v>The privacy-breach story and learning by doing.</x:v>
      </x:c>
      <x:c r="K87" s="13" t="str">
        <x:v>153–161, 170–171, 238–240; A02/A07; H04</x:v>
      </x:c>
      <x:c r="L87" s="13" t="str">
        <x:v>The metaphor leads to useful delivered help, with unresolved implementation and collective responsibilities visible.</x:v>
      </x:c>
      <x:c r="M87" s="13" t="str">
        <x:v>Original text verified; editorial diagnosis. Research references: H04</x:v>
      </x:c>
      <x:c r="N87" s="14" t="str">
        <x:v>Unreviewed</x:v>
      </x:c>
      <x:c r="O87" s="14"/>
      <x:c r="P87" s="52" t="str">
        <x:v>Refocus on mission</x:v>
      </x:c>
      <x:c r="Q87" s="52" t="str">
        <x:v>Author/editor: recurring example; project and specialist partners: operational work.</x:v>
      </x:c>
    </x:row>
    <x:row r="88" ht="99" customHeight="1">
      <x:c r="A88" s="13" t="str">
        <x:v>P045</x:v>
      </x:c>
      <x:c r="B88" s="13" t="str">
        <x:v>E22</x:v>
      </x:c>
      <x:c r="C88" s="15" t="n">
        <x:v>0</x:v>
      </x:c>
      <x:c r="D88" s="31" t="n">
        <x:v>153</x:v>
      </x:c>
      <x:c r="E88" s="30" t="str">
        <x:v>Persistence with a model is mistaken for validation</x:v>
      </x:c>
      <x:c r="F88" s="13" t="str">
        <x:v>Demand the technical procedures</x:v>
      </x:c>
      <x:c r="G88" s="13" t="str">
        <x:v>A more specific answer can still be wrong. In chapters involving wiring, construction, food and health, specificity alone is an unsafe quality test.</x:v>
      </x:c>
      <x:c r="H88" s="13" t="str">
        <x:v>Add a verify-before-use loop: request sources and assumptions, compare authoritative instructions, and test low-consequence parts before relying on advice.</x:v>
      </x:c>
      <x:c r="I88" s="13" t="str">
        <x:v>Use the specific edit instruction; no substitute prose proposed.</x:v>
      </x:c>
      <x:c r="J88" s="13" t="str">
        <x:v>Curiosity and asking better questions.</x:v>
      </x:c>
      <x:c r="K88" s="13" t="str">
        <x:v>130, 155, 159–161, 183–189, 234–241</x:v>
      </x:c>
      <x:c r="L88" s="13" t="str">
        <x:v>The process distinguishes learning from authorizing a consequential action.</x:v>
      </x:c>
      <x:c r="M88" s="13" t="str">
        <x:v>Original text verified; editorial diagnosis. Research references: S08, S09</x:v>
      </x:c>
      <x:c r="N88" s="14" t="str">
        <x:v>Unreviewed</x:v>
      </x:c>
      <x:c r="O88" s="14"/>
      <x:c r="P88" s="52" t="str">
        <x:v>Convert prescription to concept</x:v>
      </x:c>
      <x:c r="Q88" s="52" t="str">
        <x:v>Author/editor: truthful capability account. Operators and cybersecurity specialists: deployed systems and assurance.</x:v>
      </x:c>
    </x:row>
    <x:row r="89" ht="99" customHeight="1">
      <x:c r="A89" s="13" t="str">
        <x:v>P046</x:v>
      </x:c>
      <x:c r="B89" s="13" t="str">
        <x:v>E22</x:v>
      </x:c>
      <x:c r="C89" s="15" t="n">
        <x:v>0</x:v>
      </x:c>
      <x:c r="D89" s="31" t="n">
        <x:v>154</x:v>
      </x:c>
      <x:c r="E89" s="30" t="str">
        <x:v>Cloud privacy is stated as a universal product behavior</x:v>
      </x:c>
      <x:c r="F89" s="13" t="str">
        <x:v>Every time you send a query</x:v>
      </x:c>
      <x:c r="G89" s="13" t="str">
        <x:v>Providers, account types, retention settings and training policies differ. An absolute accusation will age badly and cannot substitute for a threat model.</x:v>
      </x:c>
      <x:c r="H89" s="13" t="str">
        <x:v>Describe the actual risks of entrusting data to a provider and tell readers which current policy terms to inspect. Avoid claiming every query trains a model.</x:v>
      </x:c>
      <x:c r="I89" s="13" t="str">
        <x:v>Use the specific edit instruction; no substitute prose proposed.</x:v>
      </x:c>
      <x:c r="J89" s="13" t="str">
        <x:v>Local control as a valuable option.</x:v>
      </x:c>
      <x:c r="K89" s="13" t="str">
        <x:v>153, 158, 224; E26</x:v>
      </x:c>
      <x:c r="L89" s="13" t="str">
        <x:v>The claim is specific to documented practices or explicitly general advice about reviewing them.</x:v>
      </x:c>
      <x:c r="M89" s="13" t="str">
        <x:v>Original text verified; editorial diagnosis. Research references: S08, S09</x:v>
      </x:c>
      <x:c r="N89" s="14" t="str">
        <x:v>Unreviewed</x:v>
      </x:c>
      <x:c r="O89" s="14"/>
      <x:c r="P89" s="52" t="str">
        <x:v>Convert prescription to concept</x:v>
      </x:c>
      <x:c r="Q89" s="52" t="str">
        <x:v>Author/editor: truthful capability account. Operators and cybersecurity specialists: deployed systems and assurance.</x:v>
      </x:c>
    </x:row>
    <x:row r="90" ht="99" customHeight="1">
      <x:c r="A90" s="13" t="str">
        <x:v>P047</x:v>
      </x:c>
      <x:c r="B90" s="13" t="str">
        <x:v>E22</x:v>
      </x:c>
      <x:c r="C90" s="15" t="n">
        <x:v>0</x:v>
      </x:c>
      <x:c r="D90" s="31" t="n">
        <x:v>155</x:v>
      </x:c>
      <x:c r="E90" s="30" t="str">
        <x:v>Hardware advice excludes valid execution paths</x:v>
      </x:c>
      <x:c r="F90" s="13" t="str">
        <x:v>your CPU is useless</x:v>
      </x:c>
      <x:c r="G90" s="13" t="str">
        <x:v>The prose confuses high-speed GPU execution with the possibility of running a model. It also conflicts with the named runtime’s CPU and hybrid support.</x:v>
      </x:c>
      <x:c r="H90" s="13" t="str">
        <x:v>Correct the claim that all useful local inference requires an expensive GPU. If no tested workload is retained, describe configurations as options and let task suitability drive device choice.</x:v>
      </x:c>
      <x:c r="I90" s="13" t="str">
        <x:v>Treatment recommendation: Correct the claim that all useful local inference requires an expensive GPU. If no tested workload is retained, describe configurations as options and let task suitability drive device choice.</x:v>
      </x:c>
      <x:c r="J90" s="13" t="str">
        <x:v>The explanation that memory matters.</x:v>
      </x:c>
      <x:c r="K90" s="13" t="str">
        <x:v>154–155, 286–288; S08</x:v>
      </x:c>
      <x:c r="L90" s="13" t="str">
        <x:v>A first food/planning task can use appropriate shared or existing computing; no untested performance promise remains.</x:v>
      </x:c>
      <x:c r="M90" s="13" t="str">
        <x:v>Original text verified; editorial diagnosis. Research references: S08, S09</x:v>
      </x:c>
      <x:c r="N90" s="14" t="str">
        <x:v>Unreviewed</x:v>
      </x:c>
      <x:c r="O90" s="14"/>
      <x:c r="P90" s="52" t="str">
        <x:v>Convert prescription to concept</x:v>
      </x:c>
      <x:c r="Q90" s="52" t="str">
        <x:v>Author/editor: truthful capability account. Operators and cybersecurity specialists: deployed systems and assurance.</x:v>
      </x:c>
    </x:row>
    <x:row r="91" ht="99" customHeight="1">
      <x:c r="A91" s="13" t="str">
        <x:v>P048</x:v>
      </x:c>
      <x:c r="B91" s="13" t="str">
        <x:v>E22</x:v>
      </x:c>
      <x:c r="C91" s="15" t="n">
        <x:v>0</x:v>
      </x:c>
      <x:c r="D91" s="31" t="n">
        <x:v>155</x:v>
      </x:c>
      <x:c r="E91" s="30" t="str">
        <x:v>An estimate is presented as an exact memory budget</x:v>
      </x:c>
      <x:c r="F91" s="13" t="str">
        <x:v>exact VRAM requirement</x:v>
      </x:c>
      <x:c r="G91" s="13" t="str">
        <x:v>A fixed 20% overhead cannot encode every context length, cache, batch size, runtime or model architecture.</x:v>
      </x:c>
      <x:c r="H91" s="13" t="str">
        <x:v>Keep a clearly labeled rough memory estimate only if it helps explain tool choice. Avoid a fit guarantee; remove unnecessary sizing detail when the chapter is recast as a capability account.</x:v>
      </x:c>
      <x:c r="I91" s="13" t="str">
        <x:v>Use the specific edit instruction; no substitute prose proposed.</x:v>
      </x:c>
      <x:c r="J91" s="13" t="str">
        <x:v>Transparent arithmetic that readers can follow.</x:v>
      </x:c>
      <x:c r="K91" s="13" t="str">
        <x:v>154 graphic; 155 examples</x:v>
      </x:c>
      <x:c r="L91" s="13" t="str">
        <x:v>The text either supplies appropriately bounded sizing information or omits it without implying a tested build.</x:v>
      </x:c>
      <x:c r="M91" s="13" t="str">
        <x:v>Original text verified; editorial diagnosis. Research references: S08, S09</x:v>
      </x:c>
      <x:c r="N91" s="14" t="str">
        <x:v>Unreviewed</x:v>
      </x:c>
      <x:c r="O91" s="14"/>
      <x:c r="P91" s="52" t="str">
        <x:v>Convert prescription to concept</x:v>
      </x:c>
      <x:c r="Q91" s="52" t="str">
        <x:v>Author/editor: truthful capability account. Operators and cybersecurity specialists: deployed systems and assurance.</x:v>
      </x:c>
    </x:row>
    <x:row r="92" ht="99" customHeight="1">
      <x:c r="A92" s="13" t="str">
        <x:v>P049</x:v>
      </x:c>
      <x:c r="B92" s="13" t="str">
        <x:v>E22</x:v>
      </x:c>
      <x:c r="C92" s="15" t="n">
        <x:v>0</x:v>
      </x:c>
      <x:c r="D92" s="31" t="n">
        <x:v>155</x:v>
      </x:c>
      <x:c r="E92" s="30" t="str">
        <x:v>Two cards are treated as one automatic memory pool</x:v>
      </x:c>
      <x:c r="F92" s="13" t="str">
        <x:v>split seamlessly</x:v>
      </x:c>
      <x:c r="G92" s="13" t="str">
        <x:v>Model splitting, backend support, interconnect and device compatibility affect whether and how the workload runs.</x:v>
      </x:c>
      <x:c r="H92" s="13" t="str">
        <x:v>Explain multi-device use as runtime-dependent or remove the hardware recommendation. A tested configuration is needed only if the book retains a reproducible build, not for a conceptual discussion.</x:v>
      </x:c>
      <x:c r="I92" s="13" t="str">
        <x:v>Treatment recommendation: Explain multi-device use as runtime-dependent or remove the hardware recommendation. A tested configuration is needed only if the book retains a reproducible build, not for a conceptual discussion.</x:v>
      </x:c>
      <x:c r="J92" s="13" t="str">
        <x:v>Salvaged hardware as one possible low-cost route.</x:v>
      </x:c>
      <x:c r="K92" s="13" t="str">
        <x:v>154, 156, 161; S08</x:v>
      </x:c>
      <x:c r="L92" s="13" t="str">
        <x:v>No automatic memory-pooling promise remains; the chapter does not require a new benchmark project to state the narrower point.</x:v>
      </x:c>
      <x:c r="M92" s="13" t="str">
        <x:v>Original text verified; editorial diagnosis. Research references: S08, S09</x:v>
      </x:c>
      <x:c r="N92" s="14" t="str">
        <x:v>Unreviewed</x:v>
      </x:c>
      <x:c r="O92" s="14"/>
      <x:c r="P92" s="52" t="str">
        <x:v>Convert prescription to concept</x:v>
      </x:c>
      <x:c r="Q92" s="52" t="str">
        <x:v>Author/editor: truthful capability account. Operators and cybersecurity specialists: deployed systems and assurance.</x:v>
      </x:c>
    </x:row>
    <x:row r="93" ht="99" customHeight="1">
      <x:c r="A93" s="13" t="str">
        <x:v>P050</x:v>
      </x:c>
      <x:c r="B93" s="13" t="str">
        <x:v>E22</x:v>
      </x:c>
      <x:c r="C93" s="15" t="n">
        <x:v>0</x:v>
      </x:c>
      <x:c r="D93" s="31" t="n">
        <x:v>155</x:v>
      </x:c>
      <x:c r="E93" s="30" t="str">
        <x:v>Model size is presented as evidence of medical fitness</x:v>
      </x:c>
      <x:c r="F93" s="13" t="str">
        <x:v>localized medical analysis</x:v>
      </x:c>
      <x:c r="G93" s="13" t="str">
        <x:v>Parameter count and successful local execution do not establish clinical accuracy, safe diagnosis or suitability for self-treatment.</x:v>
      </x:c>
      <x:c r="H93" s="13" t="str">
        <x:v>Remove model size as a proxy for medical fitness. Keep a bounded nonclinical assistance example if useful; place prospective home medicine in the later horizon, separate from the food-first program.</x:v>
      </x:c>
      <x:c r="I93" s="13" t="str">
        <x:v>Use the specific edit instruction; no substitute prose proposed.</x:v>
      </x:c>
      <x:c r="J93" s="13" t="str">
        <x:v>The author’s hope that technology expands access to care.</x:v>
      </x:c>
      <x:c r="K93" s="13" t="str">
        <x:v>153, 286–288; future home-robotics additions</x:v>
      </x:c>
      <x:c r="L93" s="13" t="str">
        <x:v>No hardware claim doubles as clinical evidence, and clinical robotics is not required to fulfill the chapter’s practical promise.</x:v>
      </x:c>
      <x:c r="M93" s="13" t="str">
        <x:v>Original wording verified. Clinical suitability has not been established by this editorial review; no treatment instructions are proposed.</x:v>
      </x:c>
      <x:c r="N93" s="14" t="str">
        <x:v>Unreviewed</x:v>
      </x:c>
      <x:c r="O93" s="14"/>
      <x:c r="P93" s="52" t="str">
        <x:v>Convert prescription to concept</x:v>
      </x:c>
      <x:c r="Q93" s="52" t="str">
        <x:v>Author/editor: truthful capability account. Operators and cybersecurity specialists: deployed systems and assurance.</x:v>
      </x:c>
    </x:row>
    <x:row r="94" ht="99" customHeight="1">
      <x:c r="A94" s="13" t="str">
        <x:v>P051</x:v>
      </x:c>
      <x:c r="B94" s="13" t="str">
        <x:v>E23</x:v>
      </x:c>
      <x:c r="C94" s="15" t="n">
        <x:v>1</x:v>
      </x:c>
      <x:c r="D94" s="31" t="n">
        <x:v>156</x:v>
      </x:c>
      <x:c r="E94" s="30" t="str">
        <x:v>A server heat estimate needs a system-wide energy budget</x:v>
      </x:c>
      <x:c r="F94" s="13" t="str">
        <x:v>600 W and 1000 W</x:v>
      </x:c>
      <x:c r="G94" s="13" t="str">
        <x:v>The rack’s continuous thermal output must be reconciled with household demand, the 480 W script sample and the sub-500 W shelter claim.</x:v>
      </x:c>
      <x:c r="H94" s="13" t="str">
        <x:v>Retain a bounded energy-accounting illustration with stated assumptions or remove the precise numerical promise. A complete rack heat-reuse design is optional later work.</x:v>
      </x:c>
      <x:c r="I94" s="13" t="str">
        <x:v>Treatment recommendation: Retain a bounded energy-accounting illustration with stated assumptions or remove the precise numerical promise. A complete rack heat-reuse design is optional later work.</x:v>
      </x:c>
      <x:c r="J94" s="13" t="str">
        <x:v>Making waste heat visible and potentially useful.</x:v>
      </x:c>
      <x:c r="K94" s="13" t="str">
        <x:v>134, 159, 187–188, 233–236</x:v>
      </x:c>
      <x:c r="L94" s="13" t="str">
        <x:v>Power and energy units, system boundaries and illustrative assumptions agree; no whole-building benefit is inferred from one component.</x:v>
      </x:c>
      <x:c r="M94" s="13" t="str">
        <x:v>Original text verified; editorial diagnosis. Research references: no external source needed for this textual comparison.</x:v>
      </x:c>
      <x:c r="N94" s="14" t="str">
        <x:v>Unreviewed</x:v>
      </x:c>
      <x:c r="O94" s="14"/>
      <x:c r="P94" s="52" t="str">
        <x:v>Convert prescription to concept</x:v>
      </x:c>
      <x:c r="Q94" s="52" t="str">
        <x:v>Author/editor: bounded principles. Relevant engineers/operators: implementation.</x:v>
      </x:c>
    </x:row>
    <x:row r="95" ht="99" customHeight="1">
      <x:c r="A95" s="13" t="str">
        <x:v>P052</x:v>
      </x:c>
      <x:c r="B95" s="13" t="str">
        <x:v>E23</x:v>
      </x:c>
      <x:c r="C95" s="15" t="n">
        <x:v>1</x:v>
      </x:c>
      <x:c r="D95" s="31" t="n">
        <x:v>156</x:v>
      </x:c>
      <x:c r="E95" s="30" t="str">
        <x:v>A heat-transfer equation does not validate a cooling build</x:v>
      </x:c>
      <x:c r="F95" s="13" t="str">
        <x:v>salvaged Honda Civic core</x:v>
      </x:c>
      <x:c r="G95" s="13" t="str">
        <x:v>The formula alone does not establish radiator capacity, flow, compatibility, corrosion control, leaks or safe separation from growing systems.</x:v>
      </x:c>
      <x:c r="H95" s="13" t="str">
        <x:v>Recast the assembly as a conceptual design unless a tested bill of materials and operating envelope can be supplied.</x:v>
      </x:c>
      <x:c r="I95" s="13" t="str">
        <x:v>Use the specific edit instruction; no substitute prose proposed.</x:v>
      </x:c>
      <x:c r="J95" s="13" t="str">
        <x:v>Moving unwanted heat outside and recovering it when useful.</x:v>
      </x:c>
      <x:c r="K95" s="13" t="str">
        <x:v>134, 157, 161</x:v>
      </x:c>
      <x:c r="L95" s="13" t="str">
        <x:v>A reader can distinguish heat-transfer principles from an approved component recipe.</x:v>
      </x:c>
      <x:c r="M95" s="13" t="str">
        <x:v>Original text verified; editorial diagnosis. Research references: no external source needed for this textual comparison.</x:v>
      </x:c>
      <x:c r="N95" s="14" t="str">
        <x:v>Unreviewed</x:v>
      </x:c>
      <x:c r="O95" s="14"/>
      <x:c r="P95" s="52" t="str">
        <x:v>Convert prescription to concept</x:v>
      </x:c>
      <x:c r="Q95" s="52" t="str">
        <x:v>Author/editor: bounded principles. Relevant engineers/operators: implementation.</x:v>
      </x:c>
    </x:row>
    <x:row r="96" ht="99" customHeight="1">
      <x:c r="A96" s="13" t="str">
        <x:v>P053</x:v>
      </x:c>
      <x:c r="B96" s="13" t="str">
        <x:v>E22</x:v>
      </x:c>
      <x:c r="C96" s="15" t="n">
        <x:v>0</x:v>
      </x:c>
      <x:c r="D96" s="31" t="n">
        <x:v>158</x:v>
      </x:c>
      <x:c r="E96" s="30" t="str">
        <x:v>The code exposes a service while claiming containment</x:v>
      </x:c>
      <x:c r="F96" s="13" t="str">
        <x:v>11434:11434</x:v>
      </x:c>
      <x:c r="G96" s="13" t="str">
        <x:v>Published ports create a host exposure that must be deliberately bounded. Disabling UI signup does not establish protection for all services.</x:v>
      </x:c>
      <x:c r="H96" s="13" t="str">
        <x:v>Default to removing the incomplete deployment commands and explain local versus network access conceptually. If commands are retained, use an appropriately reviewed maintained configuration with a stated exposure boundary.</x:v>
      </x:c>
      <x:c r="I96" s="13" t="str">
        <x:v>Treatment recommendation: Default to removing the incomplete deployment commands and explain local versus network access conceptually. If commands are retained, use an appropriately reviewed maintained configuration with a stated exposure boundary.</x:v>
      </x:c>
      <x:c r="J96" s="13" t="str">
        <x:v>The privacy-breach scene as the reason for careful operations.</x:v>
      </x:c>
      <x:c r="K96" s="13" t="str">
        <x:v>151–153, 158–161, 170; S09</x:v>
      </x:c>
      <x:c r="L96" s="13" t="str">
        <x:v>Executable exposure is corrected or removed. The security incident remains a reason to involve capable operators and institutional support, not a demand that the author build an assurance program.</x:v>
      </x:c>
      <x:c r="M96" s="13" t="str">
        <x:v>Original text verified; editorial diagnosis. Research references: S08, S09</x:v>
      </x:c>
      <x:c r="N96" s="14" t="str">
        <x:v>Unreviewed</x:v>
      </x:c>
      <x:c r="O96" s="14"/>
      <x:c r="P96" s="52" t="str">
        <x:v>Convert prescription to concept</x:v>
      </x:c>
      <x:c r="Q96" s="52" t="str">
        <x:v>Author/editor: truthful capability account. Operators and cybersecurity specialists: deployed systems and assurance.</x:v>
      </x:c>
    </x:row>
    <x:row r="97" ht="99" customHeight="1">
      <x:c r="A97" s="13" t="str">
        <x:v>P054</x:v>
      </x:c>
      <x:c r="B97" s="13" t="str">
        <x:v>E22</x:v>
      </x:c>
      <x:c r="C97" s="15" t="n">
        <x:v>0</x:v>
      </x:c>
      <x:c r="D97" s="31" t="n">
        <x:v>158</x:v>
      </x:c>
      <x:c r="E97" s="30" t="str">
        <x:v>The reproducible build uses moving image tags</x:v>
      </x:c>
      <x:c r="F97" s="13" t="str">
        <x:v>:latest</x:v>
      </x:c>
      <x:c r="G97" s="13" t="str">
        <x:v>The manuscript calls the configuration exact but uses latest/main tags, while later advising readers to freeze the stack.</x:v>
      </x:c>
      <x:c r="H97" s="13" t="str">
        <x:v>If a runnable example remains, identify the maintained version and actual update expectations. Otherwise remove the commands and keep the general lesson that local deployment still needs maintenance.</x:v>
      </x:c>
      <x:c r="I97" s="13" t="str">
        <x:v>Treatment recommendation: If a runnable example remains, identify the maintained version and actual update expectations. Otherwise remove the commands and keep the general lesson that local deployment still needs maintenance.</x:v>
      </x:c>
      <x:c r="J97" s="13" t="str">
        <x:v>A practical starting configuration.</x:v>
      </x:c>
      <x:c r="K97" s="13" t="str">
        <x:v>153, 159–161</x:v>
      </x:c>
      <x:c r="L97" s="13" t="str">
        <x:v>The book neither presents moving tags as reproducible nor requires the author to maintain an unrelated software distribution.</x:v>
      </x:c>
      <x:c r="M97" s="13" t="str">
        <x:v>Original text verified; editorial diagnosis. Research references: S08, S09</x:v>
      </x:c>
      <x:c r="N97" s="14" t="str">
        <x:v>Unreviewed</x:v>
      </x:c>
      <x:c r="O97" s="14"/>
      <x:c r="P97" s="52" t="str">
        <x:v>Convert prescription to concept</x:v>
      </x:c>
      <x:c r="Q97" s="52" t="str">
        <x:v>Author/editor: truthful capability account. Operators and cybersecurity specialists: deployed systems and assurance.</x:v>
      </x:c>
    </x:row>
    <x:row r="98" ht="99" customHeight="1">
      <x:c r="A98" s="13" t="str">
        <x:v>P055</x:v>
      </x:c>
      <x:c r="B98" s="13" t="str">
        <x:v>E22</x:v>
      </x:c>
      <x:c r="C98" s="15" t="n">
        <x:v>0</x:v>
      </x:c>
      <x:c r="D98" s="31" t="n">
        <x:v>159</x:v>
      </x:c>
      <x:c r="E98" s="30" t="str">
        <x:v>Simulated telemetry is advertised as a live operational audit</x:v>
      </x:c>
      <x:c r="F98" s="13" t="str">
        <x:v>highly robust</x:v>
      </x:c>
      <x:c r="G98" s="13" t="str">
        <x:v>The sample hard-codes battery, power, coolant and storage values and falls back to simulated temperature. Advice based on them cannot monitor real conditions.</x:v>
      </x:c>
      <x:c r="H98" s="13" t="str">
        <x:v>Label the example as advisory pseudocode or mock telemetry and remove live-control claims. Actual sensor integration and operational controls belong to implementation partners.</x:v>
      </x:c>
      <x:c r="I98" s="13" t="str">
        <x:v>This illustration uses simulated readings to show how an assistant might summarize a task. It does not operate the equipment.</x:v>
      </x:c>
      <x:c r="J98" s="13" t="str">
        <x:v>A clear illustration of local inference over structured input.</x:v>
      </x:c>
      <x:c r="K98" s="13" t="str">
        <x:v>160–161; 480 W sample; E23</x:v>
      </x:c>
      <x:c r="L98" s="13" t="str">
        <x:v>Every display distinguishes simulated, observed and missing data. The example claims no production readiness.</x:v>
      </x:c>
      <x:c r="M98" s="13" t="str">
        <x:v>Original text verified; editorial diagnosis. Research references: S08, S09</x:v>
      </x:c>
      <x:c r="N98" s="14" t="str">
        <x:v>Unreviewed</x:v>
      </x:c>
      <x:c r="O98" s="14"/>
      <x:c r="P98" s="52" t="str">
        <x:v>Convert prescription to concept</x:v>
      </x:c>
      <x:c r="Q98" s="52" t="str">
        <x:v>Author/editor: truthful capability account. Operators and cybersecurity specialists: deployed systems and assurance.</x:v>
      </x:c>
    </x:row>
    <x:row r="99" ht="99" customHeight="1">
      <x:c r="A99" s="13" t="str">
        <x:v>P056</x:v>
      </x:c>
      <x:c r="B99" s="13" t="str">
        <x:v>E22</x:v>
      </x:c>
      <x:c r="C99" s="15" t="n">
        <x:v>0</x:v>
      </x:c>
      <x:c r="D99" s="31" t="n">
        <x:v>161</x:v>
      </x:c>
      <x:c r="E99" s="30" t="str">
        <x:v>Operational stability is confused with indefinite patch avoidance</x:v>
      </x:c>
      <x:c r="F99" s="13" t="str">
        <x:v>No-Updates Policy</x:v>
      </x:c>
      <x:c r="G99" s="13" t="str">
        <x:v>The scene already models checked offline updates. The blanket policy implies that security fixes are generally a hostile telemetry mechanism.</x:v>
      </x:c>
      <x:c r="H99" s="13" t="str">
        <x:v>Remove indefinite no-updates advice. Explain that operators need a maintained process suited to the system, without adding an institutional cybersecurity manual to the book.</x:v>
      </x:c>
      <x:c r="I99" s="13" t="str">
        <x:v>Use the specific edit instruction; no substitute prose proposed.</x:v>
      </x:c>
      <x:c r="J99" s="13" t="str">
        <x:v>No surprise changes to a critical local service.</x:v>
      </x:c>
      <x:c r="K99" s="13" t="str">
        <x:v>153, 158–159</x:v>
      </x:c>
      <x:c r="L99" s="13" t="str">
        <x:v>The prose no longer equates never updating with security or stability.</x:v>
      </x:c>
      <x:c r="M99" s="13" t="str">
        <x:v>Original text verified; editorial diagnosis. Research references: S08, S09</x:v>
      </x:c>
      <x:c r="N99" s="14" t="str">
        <x:v>Unreviewed</x:v>
      </x:c>
      <x:c r="O99" s="14"/>
      <x:c r="P99" s="52" t="str">
        <x:v>Convert prescription to concept</x:v>
      </x:c>
      <x:c r="Q99" s="52" t="str">
        <x:v>Author/editor: truthful capability account. Operators and cybersecurity specialists: deployed systems and assurance.</x:v>
      </x:c>
    </x:row>
    <x:row r="100" ht="99" customHeight="1">
      <x:c r="A100" s="13" t="str">
        <x:v>P057</x:v>
      </x:c>
      <x:c r="B100" s="13" t="str">
        <x:v>E23</x:v>
      </x:c>
      <x:c r="C100" s="15" t="n">
        <x:v>1</x:v>
      </x:c>
      <x:c r="D100" s="31" t="n">
        <x:v>161</x:v>
      </x:c>
      <x:c r="E100" s="30" t="str">
        <x:v>A steel enclosure is treated as a guaranteed radio boundary</x:v>
      </x:c>
      <x:c r="F100" s="13" t="str">
        <x:v>preventing your wireless signals</x:v>
      </x:c>
      <x:c r="G100" s="13" t="str">
        <x:v>Doors, openings, penetrations and antenna placement matter. A property boundary is not defined by a container’s walls.</x:v>
      </x:c>
      <x:c r="H100" s="13" t="str">
        <x:v>Remove the property-boundary containment guarantee. Keep the concept of intended network reach and appropriate controls; measured implementation belongs to relevant operators.</x:v>
      </x:c>
      <x:c r="I100" s="13" t="str">
        <x:v>Use the specific edit instruction; no substitute prose proposed.</x:v>
      </x:c>
      <x:c r="J100" s="13" t="str">
        <x:v>Conscious choice of network reach.</x:v>
      </x:c>
      <x:c r="K100" s="13" t="str">
        <x:v>105, 170, 237–238</x:v>
      </x:c>
      <x:c r="L100" s="13" t="str">
        <x:v>No privacy or security guarantee rests on the steel container or an assumed radio boundary.</x:v>
      </x:c>
      <x:c r="M100" s="13" t="str">
        <x:v>Original text verified; editorial diagnosis. Research references: no external source needed for this textual comparison.</x:v>
      </x:c>
      <x:c r="N100" s="14" t="str">
        <x:v>Unreviewed</x:v>
      </x:c>
      <x:c r="O100" s="14"/>
      <x:c r="P100" s="52" t="str">
        <x:v>Convert prescription to concept</x:v>
      </x:c>
      <x:c r="Q100" s="52" t="str">
        <x:v>Author/editor: bounded principles. Relevant engineers/operators: implementation.</x:v>
      </x:c>
    </x:row>
    <x:row r="101" ht="99" customHeight="1">
      <x:c r="A101" s="13" t="str">
        <x:v>P129</x:v>
      </x:c>
      <x:c r="B101" s="13" t="str">
        <x:v>E35</x:v>
      </x:c>
      <x:c r="C101" s="15" t="n">
        <x:v>1</x:v>
      </x:c>
      <x:c r="D101" s="31" t="n">
        <x:v>161</x:v>
      </x:c>
      <x:c r="E101" s="30" t="str">
        <x:v>The Swiss response cannot be reduced to universal purity</x:v>
      </x:c>
      <x:c r="F101" s="13" t="str">
        <x:v>Precedent P-14: The Quartz Heresy (Switzerland, 1969 to 1983)</x:v>
      </x:c>
      <x:c r="G101" s="13" t="str">
        <x:v>Participation in quartz development complicates a story in which an entire industry simply refused electronics.</x:v>
      </x:c>
      <x:c r="H101" s="13" t="str">
        <x:v>Verify Swiss participation in quartz development before retaining a wholesale refusal narrative. Allow multiple adaptation strategies. Remove “only strategy” conclusions about craft and automated utility. Make the modern takeaway no broader than the documented mechanism.</x:v>
      </x:c>
      <x:c r="I101" s="13" t="str">
        <x:v>Use the specific edit instruction; no substitute prose proposed.</x:v>
      </x:c>
      <x:c r="J101" s="13" t="str">
        <x:v>Institutions differ in how they commercialize change.</x:v>
      </x:c>
      <x:c r="K101" s="13" t="str">
        <x:v>P-14; Appendix D; associated chapter practice</x:v>
      </x:c>
      <x:c r="L101" s="13" t="str">
        <x:v>Innovation, commercialization and restructuring are separately sourced and described.</x:v>
      </x:c>
      <x:c r="M101" s="13" t="str">
        <x:v>Narrative reviewed; original-source verification remains open. See earlier historical review; primary-source verification remains open.</x:v>
      </x:c>
      <x:c r="N101" s="14" t="str">
        <x:v>Unreviewed</x:v>
      </x:c>
      <x:c r="O101" s="14"/>
      <x:c r="P101" s="52" t="str">
        <x:v>Retain correction</x:v>
      </x:c>
      <x:c r="Q101" s="52" t="str">
        <x:v>Author/editor: sourced, limited historical analogies.</x:v>
      </x:c>
    </x:row>
    <x:row r="102" ht="99" customHeight="1">
      <x:c r="A102" s="13" t="str">
        <x:v>P151</x:v>
      </x:c>
      <x:c r="B102" s="13" t="str">
        <x:v>E18</x:v>
      </x:c>
      <x:c r="C102" s="15" t="n">
        <x:v>1</x:v>
      </x:c>
      <x:c r="D102" s="31" t="n">
        <x:v>166</x:v>
      </x:c>
      <x:c r="E102" s="30" t="str">
        <x:v>The access strategy slides into speculative accumulation</x:v>
      </x:c>
      <x:c r="F102" s="13" t="str">
        <x:v>Buy as much raw land as you can afford to hold</x:v>
      </x:c>
      <x:c r="G102" s="13" t="str">
        <x:v>The commons premise widens access, while the instruction privileges capital and conflicts with later warnings about isolated purchasers.</x:v>
      </x:c>
      <x:c r="H102" s="13" t="str">
        <x:v>Replace universal accumulation advice with durable access options: leases, trusts, existing community space and shared services. Do not imply guaranteed land appreciation.</x:v>
      </x:c>
      <x:c r="I102" s="13" t="str">
        <x:v>Use the specific edit instruction; no substitute prose proposed.</x:v>
      </x:c>
      <x:c r="J102" s="13" t="str">
        <x:v>Securing a reliable place to work and live.</x:v>
      </x:c>
      <x:c r="K102" s="13" t="str">
        <x:v>174–175, 211–214; A04</x:v>
      </x:c>
      <x:c r="L102" s="13" t="str">
        <x:v>A person without purchase capital has a viable route and no historical analogy promises investment returns.</x:v>
      </x:c>
      <x:c r="M102" s="13" t="str">
        <x:v>Original text verified; editorial diagnosis. Research references: S18</x:v>
      </x:c>
      <x:c r="N102" s="14" t="str">
        <x:v>Unreviewed</x:v>
      </x:c>
      <x:c r="O102" s="14"/>
      <x:c r="P102" s="52" t="str">
        <x:v>Refocus on mission</x:v>
      </x:c>
      <x:c r="Q102" s="52" t="str">
        <x:v>Author/editor: routes and historical accuracy; relevant partners: site access.</x:v>
      </x:c>
    </x:row>
    <x:row r="103" ht="99" customHeight="1">
      <x:c r="A103" s="13" t="str">
        <x:v>P067</x:v>
      </x:c>
      <x:c r="B103" s="13" t="str">
        <x:v>E19</x:v>
      </x:c>
      <x:c r="C103" s="15" t="n">
        <x:v>1</x:v>
      </x:c>
      <x:c r="D103" s="31" t="n">
        <x:v>169</x:v>
      </x:c>
      <x:c r="E103" s="30" t="str">
        <x:v>The diagram overpromises what the prose explicitly disclaims</x:v>
      </x:c>
      <x:c r="F103" s="13" t="str">
        <x:v>~300%</x:v>
      </x:c>
      <x:c r="G103" s="13" t="str">
        <x:v>The figure promises a surplus multiple while the caption and next page warn against guaranteed yields. The visual may be remembered more strongly than the caveat.</x:v>
      </x:c>
      <x:c r="H103" s="13" t="str">
        <x:v>Replace 300% with a clearly stated illustrative assumption or directly supported measure. Prefer a modest output for a defined crop and interval; include the remaining human work.</x:v>
      </x:c>
      <x:c r="I103" s="13" t="str">
        <x:v>Use the specific edit instruction; no substitute prose proposed.</x:v>
      </x:c>
      <x:c r="J103" s="13" t="str">
        <x:v>Pooling partial surpluses across different households.</x:v>
      </x:c>
      <x:c r="K103" s="13" t="str">
        <x:v>170, 216; figure caption/alt text</x:v>
      </x:c>
      <x:c r="L103" s="13" t="str">
        <x:v>The diagram makes no universal yield multiplier and agrees with the caption and food-service claim.</x:v>
      </x:c>
      <x:c r="M103" s="13" t="str">
        <x:v>Original text verified; editorial diagnosis. Research references: no external source needed for this textual comparison.</x:v>
      </x:c>
      <x:c r="N103" s="14" t="str">
        <x:v>Unreviewed</x:v>
      </x:c>
      <x:c r="O103" s="14"/>
      <x:c r="P103" s="52" t="str">
        <x:v>Refocus on mission</x:v>
      </x:c>
      <x:c r="Q103" s="52" t="str">
        <x:v>Author/editor: consistent example. Field partners: measurements for retained real-world claims.</x:v>
      </x:c>
    </x:row>
    <x:row r="104" ht="99" customHeight="1">
      <x:c r="A104" s="13" t="str">
        <x:v>P068</x:v>
      </x:c>
      <x:c r="B104" s="13" t="str">
        <x:v>E19</x:v>
      </x:c>
      <x:c r="C104" s="15" t="n">
        <x:v>1</x:v>
      </x:c>
      <x:c r="D104" s="31" t="n">
        <x:v>169</x:v>
      </x:c>
      <x:c r="E104" s="30" t="str">
        <x:v>Unlike quantities are added into one balance</x:v>
      </x:c>
      <x:c r="F104" s="13" t="str">
        <x:v>food (calories, nutrient-density) and energy</x:v>
      </x:c>
      <x:c r="G104" s="13" t="str">
        <x:v>Electricity, calories and nutrient adequacy cannot be collapsed into an undefined E-net score that proves nobody is cut off.</x:v>
      </x:c>
      <x:c r="H104" s="13" t="str">
        <x:v>Split the ledger into food quantity/nutrition, electrical energy, labor capacity and cash/maintenance. Show the limiting resource for each request.</x:v>
      </x:c>
      <x:c r="I104" s="13" t="str">
        <x:v>Use the specific edit instruction; no substitute prose proposed.</x:v>
      </x:c>
      <x:c r="J104" s="13" t="str">
        <x:v>Transparent accounting for what can actually be shared.</x:v>
      </x:c>
      <x:c r="K104" s="13" t="str">
        <x:v>170–171 scheduler, 216, 233–236</x:v>
      </x:c>
      <x:c r="L104" s="13" t="str">
        <x:v>Every sum uses compatible units; service coverage follows from explicit allocations.</x:v>
      </x:c>
      <x:c r="M104" s="13" t="str">
        <x:v>Original text verified; editorial diagnosis. Research references: no external source needed for this textual comparison.</x:v>
      </x:c>
      <x:c r="N104" s="14" t="str">
        <x:v>Unreviewed</x:v>
      </x:c>
      <x:c r="O104" s="14"/>
      <x:c r="P104" s="52" t="str">
        <x:v>Refocus on mission</x:v>
      </x:c>
      <x:c r="Q104" s="52" t="str">
        <x:v>Author/editor: consistent example. Field partners: measurements for retained real-world claims.</x:v>
      </x:c>
    </x:row>
    <x:row r="105" ht="99" customHeight="1">
      <x:c r="A105" s="13" t="str">
        <x:v>P144</x:v>
      </x:c>
      <x:c r="B105" s="13" t="str">
        <x:v>E42</x:v>
      </x:c>
      <x:c r="C105" s="15" t="n">
        <x:v>2</x:v>
      </x:c>
      <x:c r="D105" s="31" t="n">
        <x:v>169</x:v>
      </x:c>
      <x:c r="E105" s="30" t="str">
        <x:v>Diagram repairs require a separate visual proof</x:v>
      </x:c>
      <x:c r="F105" s="13" t="str">
        <x:v>THE SEMI-AUTONOMOUS CSA NETWORK</x:v>
      </x:c>
      <x:c r="G105" s="13" t="str">
        <x:v>Changing prose alone will leave cropped labels, conflicting percentages and misleading captions in the published PDF.</x:v>
      </x:c>
      <x:c r="H105" s="13" t="str">
        <x:v>Maintain one figure checklist for visible labels, captions, alt text, units and nearby prose. Re-render final pages at print size and inspect clipping and glyphs.</x:v>
      </x:c>
      <x:c r="I105" s="13" t="str">
        <x:v>Use the specific edit instruction; no substitute prose proposed.</x:v>
      </x:c>
      <x:c r="J105" s="13" t="str">
        <x:v>Useful explanations that benefit from diagrams.</x:v>
      </x:c>
      <x:c r="K105" s="13" t="str">
        <x:v>102, 104, 115, 132, 154, 156, 169, 187, 235, 240, 259</x:v>
      </x:c>
      <x:c r="L105" s="13" t="str">
        <x:v>No updated claim remains contradicted by a surviving figure or inaccessible label.</x:v>
      </x:c>
      <x:c r="M105" s="13" t="str">
        <x:v>Original text verified; editorial diagnosis. Research references: no external source needed for this textual comparison.</x:v>
      </x:c>
      <x:c r="N105" s="14" t="str">
        <x:v>Unreviewed</x:v>
      </x:c>
      <x:c r="O105" s="14"/>
      <x:c r="P105" s="52" t="str">
        <x:v>Retain correction</x:v>
      </x:c>
      <x:c r="Q105" s="52" t="str">
        <x:v>Editor/production: source and final output quality.</x:v>
      </x:c>
    </x:row>
    <x:row r="106" ht="99" customHeight="1">
      <x:c r="A106" s="13" t="str">
        <x:v>P066</x:v>
      </x:c>
      <x:c r="B106" s="13" t="str">
        <x:v>E17</x:v>
      </x:c>
      <x:c r="C106" s="15" t="n">
        <x:v>1</x:v>
      </x:c>
      <x:c r="D106" s="31" t="n">
        <x:v>170</x:v>
      </x:c>
      <x:c r="E106" s="30" t="str">
        <x:v>Complete the existing grandma scene without duplicating its setup</x:v>
      </x:c>
      <x:c r="F106" s="13" t="str">
        <x:v>our elder neighbor gets her yard cleared</x:v>
      </x:c>
      <x:c r="G106" s="13" t="str">
        <x:v>Page 166 already establishes the fixed-income, arthritis, landscaping cost and code-enforcement problem. The earlier request to add these stakes was mistaken. Pages 170–171 need clearer followthrough and human/machine attribution.</x:v>
      </x:c>
      <x:c r="H106" s="13" t="str">
        <x:v>Preserve the setup on page 166 and develop the same scene through 171. Show the request, an illustrative shared provision assumption, completed help and who did it. Keep possible 2027 robotic execution labeled as a forecast.</x:v>
      </x:c>
      <x:c r="I106" s="13" t="str">
        <x:v>Retain the existing setup. Clarify which work the neighbors do, which tools assist them, and what the forecast robot service would need to add.</x:v>
      </x:c>
      <x:c r="J106" s="13" t="str">
        <x:v>The elder’s dignity and useful help.</x:v>
      </x:c>
      <x:c r="K106" s="13" t="str">
        <x:v>166–171; A05 A09 A10; E07 E19 E43</x:v>
      </x:c>
      <x:c r="L106" s="13" t="str">
        <x:v>One coherent scene contains the existing stakes and a checkable outcome, distinguishing current human help, coordination software and possible robotic work.</x:v>
      </x:c>
      <x:c r="M106" s="13" t="str">
        <x:v>Original pp. 166–171 reread. Correction to prior editorial diagnosis; the service forecast is not a verified deployment.</x:v>
      </x:c>
      <x:c r="N106" s="14" t="str">
        <x:v>Unreviewed</x:v>
      </x:c>
      <x:c r="O106" s="14"/>
      <x:c r="P106" s="52" t="str">
        <x:v>Refocus on mission</x:v>
      </x:c>
      <x:c r="Q106" s="52" t="str">
        <x:v>Author/editor: coherent worked example. Community/service partners: actual delivery.</x:v>
      </x:c>
    </x:row>
    <x:row r="107" ht="99" customHeight="1">
      <x:c r="A107" s="13" t="str">
        <x:v>P069</x:v>
      </x:c>
      <x:c r="B107" s="13" t="str">
        <x:v>E22</x:v>
      </x:c>
      <x:c r="C107" s="15" t="n">
        <x:v>0</x:v>
      </x:c>
      <x:c r="D107" s="31" t="n">
        <x:v>170</x:v>
      </x:c>
      <x:c r="E107" s="30" t="str">
        <x:v>An incoming mesh packet contradicts the server’s label</x:v>
      </x:c>
      <x:c r="F107" s="13" t="str">
        <x:v>air-gapped server</x:v>
      </x:c>
      <x:c r="G107" s="13" t="str">
        <x:v>A server receiving network requests is connected to that network, even when it has no commercial internet connection.</x:v>
      </x:c>
      <x:c r="H107" s="13" t="str">
        <x:v>Choose the architecture: an isolated local network with controlled ingress, or an air-gapped machine with deliberate transfer. Name it consistently.</x:v>
      </x:c>
      <x:c r="I107" s="13" t="str">
        <x:v>Use the specific edit instruction; no substitute prose proposed.</x:v>
      </x:c>
      <x:c r="J107" s="13" t="str">
        <x:v>Requests processed locally without unnecessary cloud disclosure.</x:v>
      </x:c>
      <x:c r="K107" s="13" t="str">
        <x:v>105, 153–161, 116</x:v>
      </x:c>
      <x:c r="L107" s="13" t="str">
        <x:v>All diagrams and examples show the same actual connectivity.</x:v>
      </x:c>
      <x:c r="M107" s="13" t="str">
        <x:v>Original text verified; editorial diagnosis. Research references: S08, S09</x:v>
      </x:c>
      <x:c r="N107" s="14" t="str">
        <x:v>Unreviewed</x:v>
      </x:c>
      <x:c r="O107" s="14"/>
      <x:c r="P107" s="52" t="str">
        <x:v>Convert prescription to concept</x:v>
      </x:c>
      <x:c r="Q107" s="52" t="str">
        <x:v>Author/editor: truthful capability account. Operators and cybersecurity specialists: deployed systems and assurance.</x:v>
      </x:c>
    </x:row>
    <x:row r="108" ht="99" customHeight="1">
      <x:c r="A108" s="13" t="str">
        <x:v>P070</x:v>
      </x:c>
      <x:c r="B108" s="13" t="str">
        <x:v>E19</x:v>
      </x:c>
      <x:c r="C108" s="15" t="n">
        <x:v>1</x:v>
      </x:c>
      <x:c r="D108" s="31" t="n">
        <x:v>170</x:v>
      </x:c>
      <x:c r="E108" s="30" t="str">
        <x:v>The optimizer adds effort and distance without units or rights</x:v>
      </x:c>
      <x:c r="F108" s="13" t="str">
        <x:v>total human metabolic effort + total tool transit distance</x:v>
      </x:c>
      <x:c r="G108" s="13" t="str">
        <x:v>The objective is dimensionally undefined and can favor easy jobs over vulnerable people’s urgent needs.</x:v>
      </x:c>
      <x:c r="H108" s="13" t="str">
        <x:v>Explain that the scheduler can apply chosen priorities; it cannot establish fair priorities itself. Identify allocation rules as a collective decision rather than supplying a universal optimizer-governance system.</x:v>
      </x:c>
      <x:c r="I108" s="13" t="str">
        <x:v>Treatment recommendation: Explain that the scheduler can apply chosen priorities; it cannot establish fair priorities itself. Identify allocation rules as a collective decision rather than supplying a universal optimizer-governance system.</x:v>
      </x:c>
      <x:c r="J108" s="13" t="str">
        <x:v>Coordinating tools and volunteers efficiently.</x:v>
      </x:c>
      <x:c r="K108" s="13" t="str">
        <x:v>113, 169–171, 247</x:v>
      </x:c>
      <x:c r="L108" s="13" t="str">
        <x:v>The software is not given moral or governing authority by an objective function.</x:v>
      </x:c>
      <x:c r="M108" s="13" t="str">
        <x:v>Original text verified; editorial diagnosis. Research references: no external source needed for this textual comparison.</x:v>
      </x:c>
      <x:c r="N108" s="14" t="str">
        <x:v>Unreviewed</x:v>
      </x:c>
      <x:c r="O108" s="14"/>
      <x:c r="P108" s="52" t="str">
        <x:v>Refocus on mission</x:v>
      </x:c>
      <x:c r="Q108" s="52" t="str">
        <x:v>Author/editor: consistent example. Field partners: measurements for retained real-world claims.</x:v>
      </x:c>
    </x:row>
    <x:row r="109" ht="99" customHeight="1">
      <x:c r="A109" s="13" t="str">
        <x:v>P071</x:v>
      </x:c>
      <x:c r="B109" s="13" t="str">
        <x:v>E19</x:v>
      </x:c>
      <x:c r="C109" s="15" t="n">
        <x:v>2</x:v>
      </x:c>
      <x:c r="D109" s="31" t="n">
        <x:v>171</x:v>
      </x:c>
      <x:c r="E109" s="30" t="str">
        <x:v>The scheduler and story allocate different equipment</x:v>
      </x:c>
      <x:c r="F109" s="13" t="str">
        <x:v>Shouse-1 Tractor + Shouse-3 Woodchipper</x:v>
      </x:c>
      <x:c r="G109" s="13" t="str">
        <x:v>The display assigns the chipper to Shouse-3; the prose says Shouse-1 owns both tractor and chipper.</x:v>
      </x:c>
      <x:c r="H109" s="13" t="str">
        <x:v>Reconcile the fictional tool inventory and who operates each item. Present shared access as an illustrative arrangement, not a universal ownership settlement.</x:v>
      </x:c>
      <x:c r="I109" s="13" t="str">
        <x:v>Use the specific edit instruction; no substitute prose proposed.</x:v>
      </x:c>
      <x:c r="J109" s="13" t="str">
        <x:v>The concrete request-to-dispatch sequence.</x:v>
      </x:c>
      <x:c r="K109" s="13" t="str">
        <x:v>170 directory and 171 delivery</x:v>
      </x:c>
      <x:c r="L109" s="13" t="str">
        <x:v>The same tools and actors appear in the diagram and scene, with unresolved wider ownership questions left explicit.</x:v>
      </x:c>
      <x:c r="M109" s="13" t="str">
        <x:v>Original text verified; editorial diagnosis. Research references: no external source needed for this textual comparison.</x:v>
      </x:c>
      <x:c r="N109" s="14" t="str">
        <x:v>Unreviewed</x:v>
      </x:c>
      <x:c r="O109" s="14"/>
      <x:c r="P109" s="52" t="str">
        <x:v>Refocus on mission</x:v>
      </x:c>
      <x:c r="Q109" s="52" t="str">
        <x:v>Author/editor: consistent example. Field partners: measurements for retained real-world claims.</x:v>
      </x:c>
    </x:row>
    <x:row r="110" ht="99" customHeight="1">
      <x:c r="A110" s="13" t="str">
        <x:v>P072</x:v>
      </x:c>
      <x:c r="B110" s="13" t="str">
        <x:v>E19</x:v>
      </x:c>
      <x:c r="C110" s="15" t="n">
        <x:v>1</x:v>
      </x:c>
      <x:c r="D110" s="31" t="n">
        <x:v>171</x:v>
      </x:c>
      <x:c r="E110" s="30" t="str">
        <x:v>A food allocation is unsupported by the listed harvest</x:v>
      </x:c>
      <x:c r="F110" s="13" t="str">
        <x:v>15,000 kcal</x:v>
      </x:c>
      <x:c r="G110" s="13" t="str">
        <x:v>Five kilograms of unspecified root vegetables and greens do not by themselves establish 15,000 kcal or a full pantry.</x:v>
      </x:c>
      <x:c r="H110" s="13" t="str">
        <x:v>Separate crop output, edible quantity and nutritional contribution. Show whether food is available, harvested, handled and delivered; do not let a calorie allocation stand in for the whole chain.</x:v>
      </x:c>
      <x:c r="I110" s="13" t="str">
        <x:v>Use the specific edit instruction; no substitute prose proposed.</x:v>
      </x:c>
      <x:c r="J110" s="13" t="str">
        <x:v>A tangible food delivery alongside yard help.</x:v>
      </x:c>
      <x:c r="K110" s="13" t="str">
        <x:v>169 energy ledger, 170 household-surplus caveat</x:v>
      </x:c>
      <x:c r="L110" s="13" t="str">
        <x:v>The example says what useful food reaches someone, with any assumed distribution work visible.</x:v>
      </x:c>
      <x:c r="M110" s="13" t="str">
        <x:v>Original text verified; editorial diagnosis. Research references: no external source needed for this textual comparison.</x:v>
      </x:c>
      <x:c r="N110" s="14" t="str">
        <x:v>Unreviewed</x:v>
      </x:c>
      <x:c r="O110" s="14"/>
      <x:c r="P110" s="52" t="str">
        <x:v>Refocus on mission</x:v>
      </x:c>
      <x:c r="Q110" s="52" t="str">
        <x:v>Author/editor: consistent example. Field partners: measurements for retained real-world claims.</x:v>
      </x:c>
    </x:row>
    <x:row r="111" ht="99" customHeight="1">
      <x:c r="A111" s="13" t="str">
        <x:v>P073</x:v>
      </x:c>
      <x:c r="B111" s="13" t="str">
        <x:v>E17</x:v>
      </x:c>
      <x:c r="C111" s="15" t="n">
        <x:v>1</x:v>
      </x:c>
      <x:c r="D111" s="31" t="n">
        <x:v>171</x:v>
      </x:c>
      <x:c r="E111" s="30" t="str">
        <x:v>The heading gives machines credit for human work</x:v>
      </x:c>
      <x:c r="F111" s="13" t="str">
        <x:v>The Autonomous Delivery</x:v>
      </x:c>
      <x:c r="G111" s="13" t="str">
        <x:v>The paragraph dispatches a local crew, while the heading and harvest sentence imply robotic execution.</x:v>
      </x:c>
      <x:c r="H111" s="13" t="str">
        <x:v>Call the current scene coordinated mutual aid. Identify the people and tools responsible for tending, harvest and delivery; describe any future autonomous execution as a separate forecast.</x:v>
      </x:c>
      <x:c r="I111" s="13" t="str">
        <x:v>Use the specific edit instruction; no substitute prose proposed.</x:v>
      </x:c>
      <x:c r="J111" s="13" t="str">
        <x:v>People showing up with shared tools.</x:v>
      </x:c>
      <x:c r="K111" s="13" t="str">
        <x:v>130–131, 170; A05</x:v>
      </x:c>
      <x:c r="L111" s="13" t="str">
        <x:v>No machine is credited with work the scene assigns to people, and food delivery is not inferred from automated watering alone.</x:v>
      </x:c>
      <x:c r="M111" s="13" t="str">
        <x:v>Original text verified; editorial diagnosis. Research references: S23</x:v>
      </x:c>
      <x:c r="N111" s="14" t="str">
        <x:v>Unreviewed</x:v>
      </x:c>
      <x:c r="O111" s="14"/>
      <x:c r="P111" s="52" t="str">
        <x:v>Refocus on mission</x:v>
      </x:c>
      <x:c r="Q111" s="52" t="str">
        <x:v>Author/editor: coherent worked example. Community/service partners: actual delivery.</x:v>
      </x:c>
    </x:row>
    <x:row r="112" ht="99" customHeight="1">
      <x:c r="A112" s="13" t="str">
        <x:v>P142</x:v>
      </x:c>
      <x:c r="B112" s="13" t="str">
        <x:v>E34</x:v>
      </x:c>
      <x:c r="C112" s="15" t="n">
        <x:v>2</x:v>
      </x:c>
      <x:c r="D112" s="31" t="n">
        <x:v>171</x:v>
      </x:c>
      <x:c r="E112" s="30" t="str">
        <x:v>A practical checklist points readers to the wrong chapter</x:v>
      </x:c>
      <x:c r="F112" s="13" t="str">
        <x:v>No-Notifications Protocol (Chapter 3)</x:v>
      </x:c>
      <x:c r="G112" s="13" t="str">
        <x:v>The named attention material appears in Chapter 8, not Chapter 3. A wrong pointer obstructs the reader’s attempt to act.</x:v>
      </x:c>
      <x:c r="H112" s="13" t="str">
        <x:v>Resolve by heading identity, not a guessed new chapter number. Regenerate all pointers if inserting the proposed threats chapter.</x:v>
      </x:c>
      <x:c r="I112" s="13" t="str">
        <x:v>Use the specific edit instruction; no substitute prose proposed.</x:v>
      </x:c>
      <x:c r="J112" s="13" t="str">
        <x:v>A navigable practical checklist.</x:v>
      </x:c>
      <x:c r="K112" s="13" t="str">
        <x:v>161, 168, 171–172, 215, 232</x:v>
      </x:c>
      <x:c r="L112" s="13" t="str">
        <x:v>Every checklist link lands at the promised instructions in the final edition.</x:v>
      </x:c>
      <x:c r="M112" s="13" t="str">
        <x:v>Original text verified; editorial diagnosis. Research references: no external source needed for this textual comparison.</x:v>
      </x:c>
      <x:c r="N112" s="14" t="str">
        <x:v>Unreviewed</x:v>
      </x:c>
      <x:c r="O112" s="14"/>
      <x:c r="P112" s="52" t="str">
        <x:v>Retain correction</x:v>
      </x:c>
      <x:c r="Q112" s="52" t="str">
        <x:v>Editor/production: cross-references.</x:v>
      </x:c>
    </x:row>
    <x:row r="113" ht="99" customHeight="1">
      <x:c r="A113" s="13" t="str">
        <x:v>P130</x:v>
      </x:c>
      <x:c r="B113" s="13" t="str">
        <x:v>E36</x:v>
      </x:c>
      <x:c r="C113" s="15" t="n">
        <x:v>1</x:v>
      </x:c>
      <x:c r="D113" s="31" t="n">
        <x:v>174</x:v>
      </x:c>
      <x:c r="E113" s="30" t="str">
        <x:v>The land-access analogy must include dispossession</x:v>
      </x:c>
      <x:c r="F113" s="13" t="str">
        <x:v>Precedent P-15: One Hundred Sixty Acres (United States, 1862)</x:v>
      </x:c>
      <x:c r="G113" s="13" t="str">
        <x:v>Cheap land for some settlers was not ownerless abundance. Omitting Indigenous dispossession makes the proposed modern analogy morally and historically incomplete.</x:v>
      </x:c>
      <x:c r="H113" s="13" t="str">
        <x:v>NPS explicitly notes prior Indigenous habitation. Include dispossession and eligibility limits when explaining opportunity. Do not use historical land distribution to prove modern rural-property returns. Make the modern takeaway no broader than the documented mechanism.</x:v>
      </x:c>
      <x:c r="I113" s="13" t="str">
        <x:v>Use the specific edit instruction; no substitute prose proposed.</x:v>
      </x:c>
      <x:c r="J113" s="13" t="str">
        <x:v>Secure access changes what households can attempt.</x:v>
      </x:c>
      <x:c r="K113" s="13" t="str">
        <x:v>P-15; Appendix D; associated chapter practice</x:v>
      </x:c>
      <x:c r="L113" s="13" t="str">
        <x:v>No modern land recommendation rests on romanticizing a supposedly empty frontier.</x:v>
      </x:c>
      <x:c r="M113" s="13" t="str">
        <x:v>Selected core claim only; other details remain open. See earlier historical review; https://www.nps.gov/home/learn/historyculture/index.htm</x:v>
      </x:c>
      <x:c r="N113" s="14" t="str">
        <x:v>Unreviewed</x:v>
      </x:c>
      <x:c r="O113" s="14"/>
      <x:c r="P113" s="52" t="str">
        <x:v>Retain correction</x:v>
      </x:c>
      <x:c r="Q113" s="52" t="str">
        <x:v>Author/editor: case accuracy and scope.</x:v>
      </x:c>
    </x:row>
    <x:row r="114" ht="99" customHeight="1">
      <x:c r="A114" s="13" t="str">
        <x:v>P074</x:v>
      </x:c>
      <x:c r="B114" s="13" t="str">
        <x:v>E24</x:v>
      </x:c>
      <x:c r="C114" s="15" t="n">
        <x:v>0</x:v>
      </x:c>
      <x:c r="D114" s="31" t="n">
        <x:v>183</x:v>
      </x:c>
      <x:c r="E114" s="30" t="str">
        <x:v>A bearing-pressure check is advertised as foundation sufficiency</x:v>
      </x:c>
      <x:c r="F114" s="13" t="str">
        <x:v>mathematically sufficient</x:v>
      </x:c>
      <x:c r="G114" s="13" t="str">
        <x:v>Equal division of an assumed load does not establish a site-specific foundation, connections, settlement, lateral stability or all load combinations.</x:v>
      </x:c>
      <x:c r="H114" s="13" t="str">
        <x:v>Recast as a limited illustrative calculation. Remove prescriptive footing dimensions from a build recipe unless supported by a complete engineered design for stated conditions.</x:v>
      </x:c>
      <x:c r="I114" s="13" t="str">
        <x:v>Use the specific edit instruction; no substitute prose proposed.</x:v>
      </x:c>
      <x:c r="J114" s="13" t="str">
        <x:v>Making structural assumptions legible.</x:v>
      </x:c>
      <x:c r="K114" s="13" t="str">
        <x:v>184–186 and pier diagram</x:v>
      </x:c>
      <x:c r="L114" s="13" t="str">
        <x:v>No single calculation is described as certifying the dwelling.</x:v>
      </x:c>
      <x:c r="M114" s="13" t="str">
        <x:v>Original text verified; editorial diagnosis. Research references: no external source needed for this textual comparison.</x:v>
      </x:c>
      <x:c r="N114" s="14" t="str">
        <x:v>Unreviewed</x:v>
      </x:c>
      <x:c r="O114" s="14"/>
      <x:c r="P114" s="52" t="str">
        <x:v>Defer implementation; narrow claims</x:v>
      </x:c>
      <x:c r="Q114" s="52" t="str">
        <x:v>Author/editor: scope and accurate illustration. Building professionals and institutions: actual design and approvals.</x:v>
      </x:c>
    </x:row>
    <x:row r="115" ht="99" customHeight="1">
      <x:c r="A115" s="13" t="str">
        <x:v>P075</x:v>
      </x:c>
      <x:c r="B115" s="13" t="str">
        <x:v>E24</x:v>
      </x:c>
      <x:c r="C115" s="15" t="n">
        <x:v>0</x:v>
      </x:c>
      <x:c r="D115" s="31" t="n">
        <x:v>185</x:v>
      </x:c>
      <x:c r="E115" s="30" t="str">
        <x:v>The named model and equation require reconciliation</x:v>
      </x:c>
      <x:c r="F115" s="13" t="str">
        <x:v>continuously supported beam</x:v>
      </x:c>
      <x:c r="G115" s="13" t="str">
        <x:v>The text invokes continuous support while applying a familiar simple-span expression. Boundary conditions and the real load path are not established.</x:v>
      </x:c>
      <x:c r="H115" s="13" t="str">
        <x:v>Remove prescriptive geometry from the practical recipe; retain only a correctly bounded structural concept if useful. A complete reviewed building design is optional later specialist work.</x:v>
      </x:c>
      <x:c r="I115" s="13" t="str">
        <x:v>Treatment recommendation: Remove prescriptive geometry from the practical recipe; retain only a correctly bounded structural concept if useful. A complete reviewed building design is optional later specialist work.</x:v>
      </x:c>
      <x:c r="J115" s="13" t="str">
        <x:v>The explanation that removing walls changes the load path.</x:v>
      </x:c>
      <x:c r="K115" s="13" t="str">
        <x:v>184, 186; center-seam diagram</x:v>
      </x:c>
      <x:c r="L115" s="13" t="str">
        <x:v>The reader cannot mistake one formula or component calculation for an instruction to construct the dwelling.</x:v>
      </x:c>
      <x:c r="M115" s="13" t="str">
        <x:v>Original text verified; editorial diagnosis. Research references: no external source needed for this textual comparison.</x:v>
      </x:c>
      <x:c r="N115" s="14" t="str">
        <x:v>Unreviewed</x:v>
      </x:c>
      <x:c r="O115" s="14"/>
      <x:c r="P115" s="52" t="str">
        <x:v>Defer implementation; narrow claims</x:v>
      </x:c>
      <x:c r="Q115" s="52" t="str">
        <x:v>Author/editor: scope and accurate illustration. Building professionals and institutions: actual design and approvals.</x:v>
      </x:c>
    </x:row>
    <x:row r="116" ht="99" customHeight="1">
      <x:c r="A116" s="13" t="str">
        <x:v>P076</x:v>
      </x:c>
      <x:c r="B116" s="13" t="str">
        <x:v>E24</x:v>
      </x:c>
      <x:c r="C116" s="15" t="n">
        <x:v>0</x:v>
      </x:c>
      <x:c r="D116" s="31" t="n">
        <x:v>186</x:v>
      </x:c>
      <x:c r="E116" s="30" t="str">
        <x:v>A bending check is turned into a zero-deflection guarantee</x:v>
      </x:c>
      <x:c r="F116" s="13" t="str">
        <x:v>without any measurable deflection</x:v>
      </x:c>
      <x:c r="G116" s="13" t="str">
        <x:v>Section modulus and yield stress alone do not establish serviceability, buckling, weld adequacy or a deflection limit.</x:v>
      </x:c>
      <x:c r="H116" s="13" t="str">
        <x:v>Delete the guarantee and separate strength, stiffness, stability and connections in the conceptual explanation.</x:v>
      </x:c>
      <x:c r="I116" s="13" t="str">
        <x:v>Use the specific edit instruction; no substitute prose proposed.</x:v>
      </x:c>
      <x:c r="J116" s="13" t="str">
        <x:v>Reinforcement before cutting.</x:v>
      </x:c>
      <x:c r="K116" s="13" t="str">
        <x:v>183–186</x:v>
      </x:c>
      <x:c r="L116" s="13" t="str">
        <x:v>No strength calculation is used as a substitute for all structural checks.</x:v>
      </x:c>
      <x:c r="M116" s="13" t="str">
        <x:v>Original text verified; editorial diagnosis. Research references: no external source needed for this textual comparison.</x:v>
      </x:c>
      <x:c r="N116" s="14" t="str">
        <x:v>Unreviewed</x:v>
      </x:c>
      <x:c r="O116" s="14"/>
      <x:c r="P116" s="52" t="str">
        <x:v>Defer implementation; narrow claims</x:v>
      </x:c>
      <x:c r="Q116" s="52" t="str">
        <x:v>Author/editor: scope and accurate illustration. Building professionals and institutions: actual design and approvals.</x:v>
      </x:c>
    </x:row>
    <x:row r="117" ht="99" customHeight="1">
      <x:c r="A117" s="13" t="str">
        <x:v>P077</x:v>
      </x:c>
      <x:c r="B117" s="13" t="str">
        <x:v>E24</x:v>
      </x:c>
      <x:c r="C117" s="15" t="n">
        <x:v>0</x:v>
      </x:c>
      <x:c r="D117" s="31" t="n">
        <x:v>187</x:v>
      </x:c>
      <x:c r="E117" s="30" t="str">
        <x:v>An insulation choice becomes a guarantee for the entire building</x:v>
      </x:c>
      <x:c r="F117" s="13" t="str">
        <x:v>condensation-proof</x:v>
      </x:c>
      <x:c r="G117" s="13" t="str">
        <x:v>Thermal bridges, ventilation, assemblies, workmanship and climate are not resolved by the named foam thickness.</x:v>
      </x:c>
      <x:c r="H117" s="13" t="str">
        <x:v>Remove universal condensation and corrosion promises. Keep a limited explanation that envelope performance depends on the assembly and conditions; detailed building design belongs elsewhere.</x:v>
      </x:c>
      <x:c r="I117" s="13" t="str">
        <x:v>Treatment recommendation: Remove universal condensation and corrosion promises. Keep a limited explanation that envelope performance depends on the assembly and conditions; detailed building design belongs elsewhere.</x:v>
      </x:c>
      <x:c r="J117" s="13" t="str">
        <x:v>A continuous thermal envelope and accessible maintenance.</x:v>
      </x:c>
      <x:c r="K117" s="13" t="str">
        <x:v>186–189; wall-section graphic</x:v>
      </x:c>
      <x:c r="L117" s="13" t="str">
        <x:v>The illustration makes no universal building-performance guarantee.</x:v>
      </x:c>
      <x:c r="M117" s="13" t="str">
        <x:v>Original text verified; editorial diagnosis. Research references: no external source needed for this textual comparison.</x:v>
      </x:c>
      <x:c r="N117" s="14" t="str">
        <x:v>Unreviewed</x:v>
      </x:c>
      <x:c r="O117" s="14"/>
      <x:c r="P117" s="52" t="str">
        <x:v>Defer implementation; narrow claims</x:v>
      </x:c>
      <x:c r="Q117" s="52" t="str">
        <x:v>Author/editor: scope and accurate illustration. Building professionals and institutions: actual design and approvals.</x:v>
      </x:c>
    </x:row>
    <x:row r="118" ht="99" customHeight="1">
      <x:c r="A118" s="13" t="str">
        <x:v>P078</x:v>
      </x:c>
      <x:c r="B118" s="13" t="str">
        <x:v>E23</x:v>
      </x:c>
      <x:c r="C118" s="15" t="n">
        <x:v>1</x:v>
      </x:c>
      <x:c r="D118" s="31" t="n">
        <x:v>188</x:v>
      </x:c>
      <x:c r="E118" s="30" t="str">
        <x:v>A universal heating/cooling load has no whole-building calculation</x:v>
      </x:c>
      <x:c r="F118" s="13" t="str">
        <x:v>less than 500 watts</x:v>
      </x:c>
      <x:c r="G118" s="13" t="str">
        <x:v>Area, climate extremes, ventilation, windows, floor, thermal bridges and internal equipment loads are not reconciled. Thermal load and electrical input are also different.</x:v>
      </x:c>
      <x:c r="H118" s="13" t="str">
        <x:v>Remove the universal load number or present it as one sourced, bounded illustration. Do not require a full building-services design for the book’s food-first mission.</x:v>
      </x:c>
      <x:c r="I118" s="13" t="str">
        <x:v>Treatment recommendation: Remove the universal load number or present it as one sourced, bounded illustration. Do not require a full building-services design for the book’s food-first mission.</x:v>
      </x:c>
      <x:c r="J118" s="13" t="str">
        <x:v>Efficient shelter as a practical goal.</x:v>
      </x:c>
      <x:c r="K118" s="13" t="str">
        <x:v>156, 187 graphic, 189</x:v>
      </x:c>
      <x:c r="L118" s="13" t="str">
        <x:v>Thermal and electrical quantities are distinct, and any retained example has consistent assumptions.</x:v>
      </x:c>
      <x:c r="M118" s="13" t="str">
        <x:v>Original text verified; editorial diagnosis. Research references: no external source needed for this textual comparison.</x:v>
      </x:c>
      <x:c r="N118" s="14" t="str">
        <x:v>Unreviewed</x:v>
      </x:c>
      <x:c r="O118" s="14"/>
      <x:c r="P118" s="52" t="str">
        <x:v>Convert prescription to concept</x:v>
      </x:c>
      <x:c r="Q118" s="52" t="str">
        <x:v>Author/editor: bounded principles. Relevant engineers/operators: implementation.</x:v>
      </x:c>
    </x:row>
    <x:row r="119" ht="99" customHeight="1">
      <x:c r="A119" s="13" t="str">
        <x:v>P079</x:v>
      </x:c>
      <x:c r="B119" s="13" t="str">
        <x:v>E24</x:v>
      </x:c>
      <x:c r="C119" s="15" t="n">
        <x:v>0</x:v>
      </x:c>
      <x:c r="D119" s="31" t="n">
        <x:v>188</x:v>
      </x:c>
      <x:c r="E119" s="30" t="str">
        <x:v>A heating suggestion sits inside an airtight dwelling recipe</x:v>
      </x:c>
      <x:c r="F119" s="13" t="str">
        <x:v>diesel parking heater</x:v>
      </x:c>
      <x:c r="G119" s="13" t="str">
        <x:v>The text gives appliance categories without a complete installation, exhaust, combustion-air and ventilation design.</x:v>
      </x:c>
      <x:c r="H119" s="13" t="str">
        <x:v>Remove the casual appliance shortcut from the build recipe. Keep a conceptual statement that an actual dwelling needs a suitable professionally specified system.</x:v>
      </x:c>
      <x:c r="I119" s="13" t="str">
        <x:v>Use the specific edit instruction; no substitute prose proposed.</x:v>
      </x:c>
      <x:c r="J119" s="13" t="str">
        <x:v>Reducing heating demand before selecting equipment.</x:v>
      </x:c>
      <x:c r="K119" s="13" t="str">
        <x:v>187–189</x:v>
      </x:c>
      <x:c r="L119" s="13" t="str">
        <x:v>No incomplete combustion-heating instruction survives as a practical shortcut.</x:v>
      </x:c>
      <x:c r="M119" s="13" t="str">
        <x:v>Original text verified; editorial diagnosis. Research references: no external source needed for this textual comparison.</x:v>
      </x:c>
      <x:c r="N119" s="14" t="str">
        <x:v>Unreviewed</x:v>
      </x:c>
      <x:c r="O119" s="14"/>
      <x:c r="P119" s="52" t="str">
        <x:v>Defer implementation; narrow claims</x:v>
      </x:c>
      <x:c r="Q119" s="52" t="str">
        <x:v>Author/editor: scope and accurate illustration. Building professionals and institutions: actual design and approvals.</x:v>
      </x:c>
    </x:row>
    <x:row r="120" ht="99" customHeight="1">
      <x:c r="A120" s="13" t="str">
        <x:v>P080</x:v>
      </x:c>
      <x:c r="B120" s="13" t="str">
        <x:v>E24</x:v>
      </x:c>
      <x:c r="C120" s="15" t="n">
        <x:v>0</x:v>
      </x:c>
      <x:c r="D120" s="31" t="n">
        <x:v>189</x:v>
      </x:c>
      <x:c r="E120" s="30" t="str">
        <x:v>Greywater is assumed suitable for direct food-system use</x:v>
      </x:c>
      <x:c r="F120" s="13" t="str">
        <x:v>non-toxic shower runoff</x:v>
      </x:c>
      <x:c r="G120" s="13" t="str">
        <x:v>Water quality, soaps, exposure route, crop type, site and local rules are not established by separating the toilet drain.</x:v>
      </x:c>
      <x:c r="H120" s="13" t="str">
        <x:v>Remove the instant direct-to-food-garden greywater instruction. State the resource-reuse possibility only at a conceptual level unless an applicable supported system is retained.</x:v>
      </x:c>
      <x:c r="I120" s="13" t="str">
        <x:v>Treatment recommendation: Remove the instant direct-to-food-garden greywater instruction. State the resource-reuse possibility only at a conceptual level unless an applicable supported system is retained.</x:v>
      </x:c>
      <x:c r="J120" s="13" t="str">
        <x:v>Water reuse where suitable.</x:v>
      </x:c>
      <x:c r="K120" s="13" t="str">
        <x:v>116, 188 graphic, 259</x:v>
      </x:c>
      <x:c r="L120" s="13" t="str">
        <x:v>Text and diagram do not imply universally suitable irrigation water or a complete reusable-water design.</x:v>
      </x:c>
      <x:c r="M120" s="13" t="str">
        <x:v>Original text verified; editorial diagnosis. Research references: no external source needed for this textual comparison.</x:v>
      </x:c>
      <x:c r="N120" s="14" t="str">
        <x:v>Unreviewed</x:v>
      </x:c>
      <x:c r="O120" s="14"/>
      <x:c r="P120" s="52" t="str">
        <x:v>Defer implementation; narrow claims</x:v>
      </x:c>
      <x:c r="Q120" s="52" t="str">
        <x:v>Author/editor: scope and accurate illustration. Building professionals and institutions: actual design and approvals.</x:v>
      </x:c>
    </x:row>
    <x:row r="121" ht="99" customHeight="1">
      <x:c r="A121" s="13" t="str">
        <x:v>P081</x:v>
      </x:c>
      <x:c r="B121" s="13" t="str">
        <x:v>E24</x:v>
      </x:c>
      <x:c r="C121" s="15" t="n">
        <x:v>0</x:v>
      </x:c>
      <x:c r="D121" s="31" t="n">
        <x:v>189</x:v>
      </x:c>
      <x:c r="E121" s="30" t="str">
        <x:v>A materials estimate is mistaken for total achievable housing cost</x:v>
      </x:c>
      <x:c r="F121" s="13" t="str">
        <x:v>less than $25,000</x:v>
      </x:c>
      <x:c r="G121" s="13" t="str">
        <x:v>The claim omits land, labor, design, permits, transport, site work, utilities and contingency, then declares ownership and independence.</x:v>
      </x:c>
      <x:c r="H121" s="13" t="str">
        <x:v>Keep an itemized, dated materials illustration only if useful. Identify its exclusions and remove structurally invincible or complete-housing-cost claims.</x:v>
      </x:c>
      <x:c r="I121" s="13" t="str">
        <x:v>Use the specific edit instruction; no substitute prose proposed.</x:v>
      </x:c>
      <x:c r="J121" s="13" t="str">
        <x:v>The attraction of adaptable, maintainable housing.</x:v>
      </x:c>
      <x:c r="K121" s="13" t="str">
        <x:v>166, 179–189, 211–214</x:v>
      </x:c>
      <x:c r="L121" s="13" t="str">
        <x:v>The chapter offers an optional shelter example without representing a materials subtotal as a full achievable dwelling.</x:v>
      </x:c>
      <x:c r="M121" s="13" t="str">
        <x:v>Original text verified; editorial diagnosis. Research references: no external source needed for this textual comparison.</x:v>
      </x:c>
      <x:c r="N121" s="14" t="str">
        <x:v>Unreviewed</x:v>
      </x:c>
      <x:c r="O121" s="14"/>
      <x:c r="P121" s="52" t="str">
        <x:v>Defer implementation; narrow claims</x:v>
      </x:c>
      <x:c r="Q121" s="52" t="str">
        <x:v>Author/editor: scope and accurate illustration. Building professionals and institutions: actual design and approvals.</x:v>
      </x:c>
    </x:row>
    <x:row r="122" ht="99" customHeight="1">
      <x:c r="A122" s="13" t="str">
        <x:v>P131</x:v>
      </x:c>
      <x:c r="B122" s="13" t="str">
        <x:v>E36</x:v>
      </x:c>
      <x:c r="C122" s="15" t="n">
        <x:v>1</x:v>
      </x:c>
      <x:c r="D122" s="31" t="n">
        <x:v>190</x:v>
      </x:c>
      <x:c r="E122" s="30" t="str">
        <x:v>Kit houses required more than a box arriving by mail</x:v>
      </x:c>
      <x:c r="F122" s="13" t="str">
        <x:v>Precedent P-16: The House That Came by Mail (Chicago, 1908 to 1942)</x:v>
      </x:c>
      <x:c r="G122" s="13" t="str">
        <x:v>Plans, materials, pre-cut components and later fulfillment are different milestones; foundations, labor, finance and services remained necessary.</x:v>
      </x:c>
      <x:c r="H122" s="13" t="str">
        <x:v>Separate early plans/materials from later precut offerings. Distinguish catalog dates from any later fulfillment. Include supporting infrastructure and avoid unsupported universal safety or performance comparisons. Make the modern takeaway no broader than the documented mechanism.</x:v>
      </x:c>
      <x:c r="I122" s="13" t="str">
        <x:v>Use the specific edit instruction; no substitute prose proposed.</x:v>
      </x:c>
      <x:c r="J122" s="13" t="str">
        <x:v>Standardization can lower barriers to building.</x:v>
      </x:c>
      <x:c r="K122" s="13" t="str">
        <x:v>P-16; Appendix D; associated chapter practice</x:v>
      </x:c>
      <x:c r="L122" s="13" t="str">
        <x:v>Dates and costs specify what was supplied and what households still had to provide.</x:v>
      </x:c>
      <x:c r="M122" s="13" t="str">
        <x:v>Selected core claim only; other details remain open. See earlier historical review; https://www.huduser.gov/portal/pdredge/pdr-edge-housingat250-article-072425.html; https://www.richmondfed.org/publications/research/econ_focus/2019/q2-3/economic_history</x:v>
      </x:c>
      <x:c r="N122" s="14" t="str">
        <x:v>Unreviewed</x:v>
      </x:c>
      <x:c r="O122" s="14"/>
      <x:c r="P122" s="52" t="str">
        <x:v>Retain correction</x:v>
      </x:c>
      <x:c r="Q122" s="52" t="str">
        <x:v>Author/editor: case accuracy and scope.</x:v>
      </x:c>
    </x:row>
    <x:row r="123" ht="99" customHeight="1">
      <x:c r="A123" s="13" t="str">
        <x:v>P097</x:v>
      </x:c>
      <x:c r="B123" s="13" t="str">
        <x:v>E25</x:v>
      </x:c>
      <x:c r="C123" s="15" t="n">
        <x:v>1</x:v>
      </x:c>
      <x:c r="D123" s="31" t="n">
        <x:v>198</x:v>
      </x:c>
      <x:c r="E123" s="30" t="str">
        <x:v>Retail stock duration is conflated with individual starvation</x:v>
      </x:c>
      <x:c r="F123" s="13" t="str">
        <x:v>exactly 72 hours away from starvation</x:v>
      </x:c>
      <x:c r="G123" s="13" t="str">
        <x:v>A shelf-inventory estimate is not a universal timeline for household reserves, access or physiological harm. The precision unnecessarily turns preparation into panic.</x:v>
      </x:c>
      <x:c r="H123" s="13" t="str">
        <x:v>Use a conditional supply-disruption scenario and separate retail restocking, household access and nutritional vulnerability.</x:v>
      </x:c>
      <x:c r="I123" s="13" t="str">
        <x:v>Use the specific edit instruction; no substitute prose proposed.</x:v>
      </x:c>
      <x:c r="J123" s="13" t="str">
        <x:v>Buffer capacity and alternative distribution matter.</x:v>
      </x:c>
      <x:c r="K123" s="13" t="str">
        <x:v>198 diagram, 201, 247–248</x:v>
      </x:c>
      <x:c r="L123" s="13" t="str">
        <x:v>The graphic and prose do not infer a biological deadline from supermarket inventory.</x:v>
      </x:c>
      <x:c r="M123" s="13" t="str">
        <x:v>Original text verified; editorial diagnosis. Research references: S17</x:v>
      </x:c>
      <x:c r="N123" s="14" t="str">
        <x:v>Unreviewed</x:v>
      </x:c>
      <x:c r="O123" s="14"/>
      <x:c r="P123" s="52" t="str">
        <x:v>Retain correction</x:v>
      </x:c>
      <x:c r="Q123" s="52" t="str">
        <x:v>Author/editor: evidence and definitions.</x:v>
      </x:c>
    </x:row>
    <x:row r="124" ht="99" customHeight="1">
      <x:c r="A124" s="13" t="str">
        <x:v>P098</x:v>
      </x:c>
      <x:c r="B124" s="13" t="str">
        <x:v>E44</x:v>
      </x:c>
      <x:c r="C124" s="15" t="n">
        <x:v>2</x:v>
      </x:c>
      <x:c r="D124" s="31" t="n">
        <x:v>198</x:v>
      </x:c>
      <x:c r="E124" s="30" t="str">
        <x:v>The narrator silently moves from present to retrospective future</x:v>
      </x:c>
      <x:c r="F124" s="13" t="str">
        <x:v>When the Singularity hit</x:v>
      </x:c>
      <x:c r="G124" s="13" t="str">
        <x:v>The passage reads as established history even though the event belongs to the book’s scenario. Readers lose track of whether this is evidence or fiction.</x:v>
      </x:c>
      <x:c r="H124" s="13" t="str">
        <x:v>Mark the scenario boundary or keep a consistent conditional tense. Apply the same convention to the other future-history passages.</x:v>
      </x:c>
      <x:c r="I124" s="13" t="str">
        <x:v>Use the specific edit instruction; no substitute prose proposed.</x:v>
      </x:c>
      <x:c r="J124" s="13" t="str">
        <x:v>Vivid illustration of a possible allocation failure.</x:v>
      </x:c>
      <x:c r="K124" s="13" t="str">
        <x:v>231, 246, 257; forecast stages</x:v>
      </x:c>
      <x:c r="L124" s="13" t="str">
        <x:v>Dates and narrative tense identify observed events versus imagined future events.</x:v>
      </x:c>
      <x:c r="M124" s="13" t="str">
        <x:v>Original text verified; editorial diagnosis. Research references: no external source needed for this textual comparison.</x:v>
      </x:c>
      <x:c r="N124" s="14" t="str">
        <x:v>Unreviewed</x:v>
      </x:c>
      <x:c r="O124" s="14"/>
      <x:c r="P124" s="52" t="str">
        <x:v>Retain correction</x:v>
      </x:c>
      <x:c r="Q124" s="52" t="str">
        <x:v>Author/editor: tense and claim classification.</x:v>
      </x:c>
    </x:row>
    <x:row r="125" ht="99" customHeight="1">
      <x:c r="A125" s="13" t="str">
        <x:v>P132</x:v>
      </x:c>
      <x:c r="B125" s="13" t="str">
        <x:v>E36</x:v>
      </x:c>
      <x:c r="C125" s="15" t="n">
        <x:v>1</x:v>
      </x:c>
      <x:c r="D125" s="31" t="n">
        <x:v>204</x:v>
      </x:c>
      <x:c r="E125" s="30" t="str">
        <x:v>Bankruptcy is not proof that a firm never adapted or ceased to exist</x:v>
      </x:c>
      <x:c r="F125" s="13" t="str">
        <x:v>Precedent P-17: The Graveyard of the Unconvinced (1975 to 2011)</x:v>
      </x:c>
      <x:c r="G125" s="13" t="str">
        <x:v>Kodak’s digital products and later emergence complicate the four-headstone narrative. The heading also ends before the stated 2012 event.</x:v>
      </x:c>
      <x:c r="H125" s="13" t="str">
        <x:v>Kodak reports substantial digital-camera activity and emergence from Chapter 11 in 2013. Its story cannot be “never adopted” or literal corporate death. Check each other company separately and fix a date range that excludes events it narrates. Make the modern takeaway no broader than the documented mechanism.</x:v>
      </x:c>
      <x:c r="I125" s="13" t="str">
        <x:v>Use the specific edit instruction; no substitute prose proposed.</x:v>
      </x:c>
      <x:c r="J125" s="13" t="str">
        <x:v>Incumbents can struggle to replace profitable models.</x:v>
      </x:c>
      <x:c r="K125" s="13" t="str">
        <x:v>P-17; Appendix D; associated chapter practice</x:v>
      </x:c>
      <x:c r="L125" s="13" t="str">
        <x:v>Each firm’s actual adoption, financial outcome and survival status is checked separately.</x:v>
      </x:c>
      <x:c r="M125" s="13" t="str">
        <x:v>Selected core claim only; other details remain open. See earlier historical review; https://www.kodak.com/en/company/page/milestones/</x:v>
      </x:c>
      <x:c r="N125" s="14" t="str">
        <x:v>Unreviewed</x:v>
      </x:c>
      <x:c r="O125" s="14"/>
      <x:c r="P125" s="52" t="str">
        <x:v>Retain correction</x:v>
      </x:c>
      <x:c r="Q125" s="52" t="str">
        <x:v>Author/editor: case accuracy and scope.</x:v>
      </x:c>
    </x:row>
    <x:row r="126" ht="99" customHeight="1">
      <x:c r="A126" s="13" t="str">
        <x:v>P133</x:v>
      </x:c>
      <x:c r="B126" s="13" t="str">
        <x:v>E35</x:v>
      </x:c>
      <x:c r="C126" s="15" t="n">
        <x:v>1</x:v>
      </x:c>
      <x:c r="D126" s="31" t="n">
        <x:v>205</x:v>
      </x:c>
      <x:c r="E126" s="30" t="str">
        <x:v>Kodak and Fujifilm are not a controlled experiment</x:v>
      </x:c>
      <x:c r="F126" s="13" t="str">
        <x:v>Precedent P-18: The Mirror Twin (Tokyo, 2000s)</x:v>
      </x:c>
      <x:c r="G126" s="13" t="str">
        <x:v>Different assets, markets, opportunities and choices prevent attributing every outcome to a single mindset.</x:v>
      </x:c>
      <x:c r="H126" s="13" t="str">
        <x:v>Compare specific strategies and assets, not supposedly identical firms under an identical shock. Recover Fujifilm evidence. Do not imply that an individual displaced worker has a diversified company's options. Make the modern takeaway no broader than the documented mechanism.</x:v>
      </x:c>
      <x:c r="I126" s="13" t="str">
        <x:v>Use the specific edit instruction; no substitute prose proposed.</x:v>
      </x:c>
      <x:c r="J126" s="13" t="str">
        <x:v>Capabilities can be redeployed into new work.</x:v>
      </x:c>
      <x:c r="K126" s="13" t="str">
        <x:v>P-18; Appendix D; associated chapter practice</x:v>
      </x:c>
      <x:c r="L126" s="13" t="str">
        <x:v>The comparison identifies relevant differences and does not promise reinvention will always succeed.</x:v>
      </x:c>
      <x:c r="M126" s="13" t="str">
        <x:v>Narrative reviewed; original-source verification remains open. See earlier historical review; primary-source verification remains open.</x:v>
      </x:c>
      <x:c r="N126" s="14" t="str">
        <x:v>Unreviewed</x:v>
      </x:c>
      <x:c r="O126" s="14"/>
      <x:c r="P126" s="52" t="str">
        <x:v>Retain correction</x:v>
      </x:c>
      <x:c r="Q126" s="52" t="str">
        <x:v>Author/editor: sourced, limited historical analogies.</x:v>
      </x:c>
    </x:row>
    <x:row r="127" ht="99" customHeight="1">
      <x:c r="A127" s="13" t="str">
        <x:v>P134</x:v>
      </x:c>
      <x:c r="B127" s="13" t="str">
        <x:v>E35</x:v>
      </x:c>
      <x:c r="C127" s="15" t="n">
        <x:v>1</x:v>
      </x:c>
      <x:c r="D127" s="31" t="n">
        <x:v>216</x:v>
      </x:c>
      <x:c r="E127" s="30" t="str">
        <x:v>Victory Gardens demonstrate mobilization, not all-calorie self-sufficiency</x:v>
      </x:c>
      <x:c r="F127" s="13" t="str">
        <x:v>Precedent P-19: Twenty Million Gardens (United States, 1943 to 1944)</x:v>
      </x:c>
      <x:c r="G127" s="13" t="str">
        <x:v>The vegetable-share denominator matters, as do seed, land, instruction, labor and public organization. Willingness was not the sole input.</x:v>
      </x:c>
      <x:c r="H127" s="13" t="str">
        <x:v>Strong candidate for coordinated mutual aid. Verify totals and the fresh-vegetable denominator. Include inputs, knowledge and organization; willingness alone is not the only constraint. Make the modern takeaway no broader than the documented mechanism.</x:v>
      </x:c>
      <x:c r="I127" s="13" t="str">
        <x:v>Use the specific edit instruction; no substitute prose proposed.</x:v>
      </x:c>
      <x:c r="J127" s="13" t="str">
        <x:v>Ordinary people contributed through coordinated action.</x:v>
      </x:c>
      <x:c r="K127" s="13" t="str">
        <x:v>P-19; Appendix D; associated chapter practice</x:v>
      </x:c>
      <x:c r="L127" s="13" t="str">
        <x:v>The historical percentage is correctly scoped and cannot imply a complete neighborhood diet.</x:v>
      </x:c>
      <x:c r="M127" s="13" t="str">
        <x:v>Narrative reviewed; original-source verification remains open. See earlier historical review; primary-source verification remains open.</x:v>
      </x:c>
      <x:c r="N127" s="14" t="str">
        <x:v>Unreviewed</x:v>
      </x:c>
      <x:c r="O127" s="14"/>
      <x:c r="P127" s="52" t="str">
        <x:v>Retain correction</x:v>
      </x:c>
      <x:c r="Q127" s="52" t="str">
        <x:v>Author/editor: sourced, limited historical analogies.</x:v>
      </x:c>
    </x:row>
    <x:row r="128" ht="99" customHeight="1">
      <x:c r="A128" s="13" t="str">
        <x:v>P099</x:v>
      </x:c>
      <x:c r="B128" s="13" t="str">
        <x:v>E26</x:v>
      </x:c>
      <x:c r="C128" s="15" t="n">
        <x:v>1</x:v>
      </x:c>
      <x:c r="D128" s="31" t="n">
        <x:v>220</x:v>
      </x:c>
      <x:c r="E128" s="30" t="str">
        <x:v>The fictional license conflicts with the openness vocabulary</x:v>
      </x:c>
      <x:c r="F128" s="13" t="str">
        <x:v>sell nothing you didn’t build on top of it</x:v>
      </x:c>
      <x:c r="G128" s="13" t="str">
        <x:v>A conversational license description may restrict redistribution in ways inconsistent with the book’s use of open source and can obscure third-party rights.</x:v>
      </x:c>
      <x:c r="H128" s="13" t="str">
        <x:v>Choose appropriate standard licenses by asset type and explain their permissions accurately. Keep the fictional lawyer’s personality without inventing operative legal terms.</x:v>
      </x:c>
      <x:c r="I128" s="13" t="str">
        <x:v>Use the specific edit instruction; no substitute prose proposed.</x:v>
      </x:c>
      <x:c r="J128" s="13" t="str">
        <x:v>Sharing the hard-won designs and failure reports.</x:v>
      </x:c>
      <x:c r="K128" s="13" t="str">
        <x:v>224–225, Appendix B, published downloads</x:v>
      </x:c>
      <x:c r="L128" s="13" t="str">
        <x:v>The actual release permissions match the book’s descriptions and ownership of each asset.</x:v>
      </x:c>
      <x:c r="M128" s="13" t="str">
        <x:v>Original text verified; editorial diagnosis. Research references: S12</x:v>
      </x:c>
      <x:c r="N128" s="14" t="str">
        <x:v>Unreviewed</x:v>
      </x:c>
      <x:c r="O128" s="14"/>
      <x:c r="P128" s="52" t="str">
        <x:v>Refocus on mission</x:v>
      </x:c>
      <x:c r="Q128" s="52" t="str">
        <x:v>Author/editor: accurate sharing guidance; maintainers: actual hosting and access.</x:v>
      </x:c>
    </x:row>
    <x:row r="129" ht="99" customHeight="1">
      <x:c r="A129" s="13" t="str">
        <x:v>P100</x:v>
      </x:c>
      <x:c r="B129" s="13" t="str">
        <x:v>E26</x:v>
      </x:c>
      <x:c r="C129" s="15" t="n">
        <x:v>1</x:v>
      </x:c>
      <x:c r="D129" s="31" t="n">
        <x:v>224</x:v>
      </x:c>
      <x:c r="E129" s="30" t="str">
        <x:v>Metadata risk is overstated and sanitization oversold</x:v>
      </x:c>
      <x:c r="F129" s="13" t="str">
        <x:v>Every photo</x:v>
      </x:c>
      <x:c r="G129" s="13" t="str">
        <x:v>Not every image contains every listed field. Removing EXIF also does not remove visible landmarks, faces, platform logs or other identifying context.</x:v>
      </x:c>
      <x:c r="H129" s="13" t="str">
        <x:v>Use may contain, verify the exported file and review visible information. Replace inability-to-target guarantees with bounded risk reduction.</x:v>
      </x:c>
      <x:c r="I129" s="13" t="str">
        <x:v>Use the specific edit instruction; no substitute prose proposed.</x:v>
      </x:c>
      <x:c r="J129" s="13" t="str">
        <x:v>Protecting neighbors’ privacy before sharing.</x:v>
      </x:c>
      <x:c r="K129" s="13" t="str">
        <x:v>145–146, 151–153, 225</x:v>
      </x:c>
      <x:c r="L129" s="13" t="str">
        <x:v>The publishing process includes consent and content review, not just a metadata command.</x:v>
      </x:c>
      <x:c r="M129" s="13" t="str">
        <x:v>Original text verified; editorial diagnosis. Research references: S12</x:v>
      </x:c>
      <x:c r="N129" s="14" t="str">
        <x:v>Unreviewed</x:v>
      </x:c>
      <x:c r="O129" s="14"/>
      <x:c r="P129" s="52" t="str">
        <x:v>Refocus on mission</x:v>
      </x:c>
      <x:c r="Q129" s="52" t="str">
        <x:v>Author/editor: accurate sharing guidance; maintainers: actual hosting and access.</x:v>
      </x:c>
    </x:row>
    <x:row r="130" ht="99" customHeight="1">
      <x:c r="A130" s="13" t="str">
        <x:v>P101</x:v>
      </x:c>
      <x:c r="B130" s="13" t="str">
        <x:v>E26</x:v>
      </x:c>
      <x:c r="C130" s="15" t="n">
        <x:v>1</x:v>
      </x:c>
      <x:c r="D130" s="31" t="n">
        <x:v>224</x:v>
      </x:c>
      <x:c r="E130" s="30" t="str">
        <x:v>Content addressing is mistaken for automatic durable hosting</x:v>
      </x:c>
      <x:c r="F130" s="13" t="str">
        <x:v>distributed across hundreds</x:v>
      </x:c>
      <x:c r="G130" s="13" t="str">
        <x:v>A hash identifies content; it does not ensure hundreds of hosts, permanence or access when no one retains and serves the data.</x:v>
      </x:c>
      <x:c r="H130" s="13" t="str">
        <x:v>Explain pinning, replication, backups and who maintains availability. Distinguish integrity, confidentiality and persistence.</x:v>
      </x:c>
      <x:c r="I130" s="13" t="str">
        <x:v>Use the specific edit instruction; no substitute prose proposed.</x:v>
      </x:c>
      <x:c r="J130" s="13" t="str">
        <x:v>Distribution that does not depend on one publisher.</x:v>
      </x:c>
      <x:c r="K130" s="13" t="str">
        <x:v>225; S12</x:v>
      </x:c>
      <x:c r="L130" s="13" t="str">
        <x:v>A named retention plan replaces automatic permanence.</x:v>
      </x:c>
      <x:c r="M130" s="13" t="str">
        <x:v>Original text verified; editorial diagnosis. Research references: S12</x:v>
      </x:c>
      <x:c r="N130" s="14" t="str">
        <x:v>Unreviewed</x:v>
      </x:c>
      <x:c r="O130" s="14"/>
      <x:c r="P130" s="52" t="str">
        <x:v>Refocus on mission</x:v>
      </x:c>
      <x:c r="Q130" s="52" t="str">
        <x:v>Author/editor: accurate sharing guidance; maintainers: actual hosting and access.</x:v>
      </x:c>
    </x:row>
    <x:row r="131" ht="99" customHeight="1">
      <x:c r="A131" s="13" t="str">
        <x:v>P102</x:v>
      </x:c>
      <x:c r="B131" s="13" t="str">
        <x:v>E26</x:v>
      </x:c>
      <x:c r="C131" s="15" t="n">
        <x:v>1</x:v>
      </x:c>
      <x:c r="D131" s="31" t="n">
        <x:v>225</x:v>
      </x:c>
      <x:c r="E131" s="30" t="str">
        <x:v>Physical transfer inherits another absolute immunity claim</x:v>
      </x:c>
      <x:c r="F131" s="13" t="str">
        <x:v>completely immune</x:v>
      </x:c>
      <x:c r="G131" s="13" t="str">
        <x:v>No internet packet on the transfer path does not guarantee freedom from endpoint compromise, physical seizure, loss or every electromagnetic threat.</x:v>
      </x:c>
      <x:c r="H131" s="13" t="str">
        <x:v>State the reduced network exposure and remaining risks; include integrity checks, encryption/key handling and backups at a conceptual level.</x:v>
      </x:c>
      <x:c r="I131" s="13" t="str">
        <x:v>Use the specific edit instruction; no substitute prose proposed.</x:v>
      </x:c>
      <x:c r="J131" s="13" t="str">
        <x:v>Offline copies and neighbor-to-neighbor exchange.</x:v>
      </x:c>
      <x:c r="K131" s="13" t="str">
        <x:v>153, 224, 237–238</x:v>
      </x:c>
      <x:c r="L131" s="13" t="str">
        <x:v>The threat model matches the mechanism, without universal immunity language.</x:v>
      </x:c>
      <x:c r="M131" s="13" t="str">
        <x:v>Original text verified; editorial diagnosis. Research references: S12</x:v>
      </x:c>
      <x:c r="N131" s="14" t="str">
        <x:v>Unreviewed</x:v>
      </x:c>
      <x:c r="O131" s="14"/>
      <x:c r="P131" s="52" t="str">
        <x:v>Refocus on mission</x:v>
      </x:c>
      <x:c r="Q131" s="52" t="str">
        <x:v>Author/editor: accurate sharing guidance; maintainers: actual hosting and access.</x:v>
      </x:c>
    </x:row>
    <x:row r="132" ht="99" customHeight="1">
      <x:c r="A132" s="13" t="str">
        <x:v>P135</x:v>
      </x:c>
      <x:c r="B132" s="13" t="str">
        <x:v>E35</x:v>
      </x:c>
      <x:c r="C132" s="15" t="n">
        <x:v>1</x:v>
      </x:c>
      <x:c r="D132" s="31" t="n">
        <x:v>226</x:v>
      </x:c>
      <x:c r="E132" s="30" t="str">
        <x:v>Cheap pamphlets are one ingredient in political mobilization</x:v>
      </x:c>
      <x:c r="F132" s="13" t="str">
        <x:v>Precedent P-20: Seventy-Nine Pages (Philadelphia, 1776)</x:v>
      </x:c>
      <x:c r="G132" s="13" t="str">
        <x:v>Distribution networks, literacy, institutions and a particular political setting mediate print’s effects. Edition-specific page counts need checking.</x:v>
      </x:c>
      <x:c r="H132" s="13" t="str">
        <x:v>Verify the edition's page count and publication story. Separate a pamphlet's contribution from a claim that one writer, without supporting networks or circumstances, caused a political transformation. Make the modern takeaway no broader than the documented mechanism.</x:v>
      </x:c>
      <x:c r="I132" s="13" t="str">
        <x:v>Use the specific edit instruction; no substitute prose proposed.</x:v>
      </x:c>
      <x:c r="J132" s="13" t="str">
        <x:v>Ideas can travel farther as copying becomes cheaper.</x:v>
      </x:c>
      <x:c r="K132" s="13" t="str">
        <x:v>P-20; Appendix D; associated chapter practice</x:v>
      </x:c>
      <x:c r="L132" s="13" t="str">
        <x:v>The modern analogy includes organizing and trust between idea and effect.</x:v>
      </x:c>
      <x:c r="M132" s="13" t="str">
        <x:v>Narrative reviewed; original-source verification remains open. See earlier historical review; primary-source verification remains open.</x:v>
      </x:c>
      <x:c r="N132" s="14" t="str">
        <x:v>Unreviewed</x:v>
      </x:c>
      <x:c r="O132" s="14"/>
      <x:c r="P132" s="52" t="str">
        <x:v>Retain correction</x:v>
      </x:c>
      <x:c r="Q132" s="52" t="str">
        <x:v>Author/editor: sourced, limited historical analogies.</x:v>
      </x:c>
    </x:row>
    <x:row r="133" ht="99" customHeight="1">
      <x:c r="A133" s="13" t="str">
        <x:v>P084</x:v>
      </x:c>
      <x:c r="B133" s="13" t="str">
        <x:v>E28</x:v>
      </x:c>
      <x:c r="C133" s="15" t="n">
        <x:v>1</x:v>
      </x:c>
      <x:c r="D133" s="31" t="n">
        <x:v>233</x:v>
      </x:c>
      <x:c r="E133" s="30" t="str">
        <x:v>The power label conflicts with its own numerical unit</x:v>
      </x:c>
      <x:c r="F133" s="13" t="str">
        <x:v>Micro-Watt Draw</x:v>
      </x:c>
      <x:c r="G133" s="13" t="str">
        <x:v>0.1 W is 100 mW, not a microwatt-scale description. Indefinite operation also depends on solar conditions, duty cycle and battery health.</x:v>
      </x:c>
      <x:c r="H133" s="13" t="str">
        <x:v>Correct the unit label and budget idle/transmit energy for a named board. Replace forever/indefinitely with a stated design target.</x:v>
      </x:c>
      <x:c r="I133" s="13" t="str">
        <x:v>Use the specific edit instruction; no substitute prose proposed.</x:v>
      </x:c>
      <x:c r="J133" s="13" t="str">
        <x:v>Low-power messaging as a useful capability.</x:v>
      </x:c>
      <x:c r="K133" s="13" t="str">
        <x:v>234 range claim; 260 public-network promise</x:v>
      </x:c>
      <x:c r="L133" s="13" t="str">
        <x:v>Units, battery endurance, solar budget and deployment conditions agree.</x:v>
      </x:c>
      <x:c r="M133" s="13" t="str">
        <x:v>Original text verified; editorial diagnosis. Research references: S10, S11</x:v>
      </x:c>
      <x:c r="N133" s="14" t="str">
        <x:v>Unreviewed</x:v>
      </x:c>
      <x:c r="O133" s="14"/>
      <x:c r="P133" s="52" t="str">
        <x:v>Refocus on mission</x:v>
      </x:c>
      <x:c r="Q133" s="52" t="str">
        <x:v>Author/editor: compatible task assumptions. Operators: actual network configuration.</x:v>
      </x:c>
    </x:row>
    <x:row r="134" ht="99" customHeight="1">
      <x:c r="A134" s="13" t="str">
        <x:v>P082</x:v>
      </x:c>
      <x:c r="B134" s="13" t="str">
        <x:v>E27</x:v>
      </x:c>
      <x:c r="C134" s="15" t="n">
        <x:v>0</x:v>
      </x:c>
      <x:c r="D134" s="31" t="n">
        <x:v>234</x:v>
      </x:c>
      <x:c r="E134" s="30" t="str">
        <x:v>The battery recipe omits a defined safe electrical configuration</x:v>
      </x:c>
      <x:c r="F134" s="13" t="str">
        <x:v>two recycled 18650</x:v>
      </x:c>
      <x:c r="G134" s="13" t="str">
        <x:v>Cell condition, series/parallel arrangement, charging compatibility and protection are not specified. A cheap 5V regulator is not a complete battery system.</x:v>
      </x:c>
      <x:c r="H134" s="13" t="str">
        <x:v>Remove the undefined salvaged-cell assembly. Keep the power-budget lesson or refer to a compatible documented product if a practical example is needed.</x:v>
      </x:c>
      <x:c r="I134" s="13" t="str">
        <x:v>Treatment recommendation: Remove the undefined salvaged-cell assembly. Keep the power-budget lesson or refer to a compatible documented product if a practical example is needed.</x:v>
      </x:c>
      <x:c r="J134" s="13" t="str">
        <x:v>Small off-grid communication nodes.</x:v>
      </x:c>
      <x:c r="K134" s="13" t="str">
        <x:v>233 graphic, 235–236, 241</x:v>
      </x:c>
      <x:c r="L134" s="13" t="str">
        <x:v>Readers are not directed to assemble an incomplete battery system; author-led custom electrical design is not a publication prerequisite.</x:v>
      </x:c>
      <x:c r="M134" s="13" t="str">
        <x:v>Original text verified; editorial diagnosis. Research references: no external source needed for this textual comparison.</x:v>
      </x:c>
      <x:c r="N134" s="14" t="str">
        <x:v>Unreviewed</x:v>
      </x:c>
      <x:c r="O134" s="14"/>
      <x:c r="P134" s="52" t="str">
        <x:v>Convert prescription to concept</x:v>
      </x:c>
      <x:c r="Q134" s="52" t="str">
        <x:v>Author/editor: remove unsupported instructions. Qualified hardware specialists: custom designs.</x:v>
      </x:c>
    </x:row>
    <x:row r="135" ht="99" customHeight="1">
      <x:c r="A135" s="13" t="str">
        <x:v>P085</x:v>
      </x:c>
      <x:c r="B135" s="13" t="str">
        <x:v>E28</x:v>
      </x:c>
      <x:c r="C135" s="15" t="n">
        <x:v>1</x:v>
      </x:c>
      <x:c r="D135" s="31" t="n">
        <x:v>234</x:v>
      </x:c>
      <x:c r="E135" s="30" t="str">
        <x:v>Exceptional radio range is presented as easy routine performance</x:v>
      </x:c>
      <x:c r="F135" s="13" t="str">
        <x:v>thirty miles</x:v>
      </x:c>
      <x:c r="G135" s="13" t="str">
        <x:v>Elevation, terrain, antennas, interference and regional radio settings determine reach. The enclosure and antenna placement also need to be considered together.</x:v>
      </x:c>
      <x:c r="H135" s="13" t="str">
        <x:v>Present range as site-dependent and require coverage testing. State regional band and power constraints without implying license-exempt means rule-free.</x:v>
      </x:c>
      <x:c r="I135" s="13" t="str">
        <x:v>Use the specific edit instruction; no substitute prose proposed.</x:v>
      </x:c>
      <x:c r="J135" s="13" t="str">
        <x:v>Local mesh experimentation.</x:v>
      </x:c>
      <x:c r="K135" s="13" t="str">
        <x:v>233, 260; S10–S11</x:v>
      </x:c>
      <x:c r="L135" s="13" t="str">
        <x:v>No guaranteed reach or blanket regulatory exemption remains.</x:v>
      </x:c>
      <x:c r="M135" s="13" t="str">
        <x:v>Original text verified; editorial diagnosis. Research references: S10, S11</x:v>
      </x:c>
      <x:c r="N135" s="14" t="str">
        <x:v>Unreviewed</x:v>
      </x:c>
      <x:c r="O135" s="14"/>
      <x:c r="P135" s="52" t="str">
        <x:v>Refocus on mission</x:v>
      </x:c>
      <x:c r="Q135" s="52" t="str">
        <x:v>Author/editor: compatible task assumptions. Operators: actual network configuration.</x:v>
      </x:c>
    </x:row>
    <x:row r="136" ht="99" customHeight="1">
      <x:c r="A136" s="13" t="str">
        <x:v>P083</x:v>
      </x:c>
      <x:c r="B136" s="13" t="str">
        <x:v>E27</x:v>
      </x:c>
      <x:c r="C136" s="15" t="n">
        <x:v>0</x:v>
      </x:c>
      <x:c r="D136" s="31" t="n">
        <x:v>235</x:v>
      </x:c>
      <x:c r="E136" s="30" t="str">
        <x:v>The DC diagram promises a lossless system</x:v>
      </x:c>
      <x:c r="F136" s="13" t="str">
        <x:v>zero conversion loss</x:v>
      </x:c>
      <x:c r="G136" s="13" t="str">
        <x:v>DC conversion, wiring, charge control and storage can still incur losses. The alternative is compared using no common load profile.</x:v>
      </x:c>
      <x:c r="H136" s="13" t="str">
        <x:v>Correct lossless language and explain that complete architectures have losses. Retain specific comparisons only when matched system boundaries and evidence exist.</x:v>
      </x:c>
      <x:c r="I136" s="13" t="str">
        <x:v>Use the specific edit instruction; no substitute prose proposed.</x:v>
      </x:c>
      <x:c r="J136" s="13" t="str">
        <x:v>Avoiding unnecessary conversions where it improves the real design.</x:v>
      </x:c>
      <x:c r="K136" s="13" t="str">
        <x:v>154, 161, 233–236</x:v>
      </x:c>
      <x:c r="L136" s="13" t="str">
        <x:v>The lesson is accurate without requiring a new custom electrical demonstration.</x:v>
      </x:c>
      <x:c r="M136" s="13" t="str">
        <x:v>Original text verified; editorial diagnosis. Research references: no external source needed for this textual comparison.</x:v>
      </x:c>
      <x:c r="N136" s="14" t="str">
        <x:v>Unreviewed</x:v>
      </x:c>
      <x:c r="O136" s="14"/>
      <x:c r="P136" s="52" t="str">
        <x:v>Convert prescription to concept</x:v>
      </x:c>
      <x:c r="Q136" s="52" t="str">
        <x:v>Author/editor: remove unsupported instructions. Qualified hardware specialists: custom designs.</x:v>
      </x:c>
    </x:row>
    <x:row r="137" ht="99" customHeight="1">
      <x:c r="A137" s="13" t="str">
        <x:v>P086</x:v>
      </x:c>
      <x:c r="B137" s="13" t="str">
        <x:v>E29</x:v>
      </x:c>
      <x:c r="C137" s="15" t="n">
        <x:v>1</x:v>
      </x:c>
      <x:c r="D137" s="31" t="n">
        <x:v>237</x:v>
      </x:c>
      <x:c r="E137" s="30" t="str">
        <x:v>Recycling is described as changing PET into a different formulation</x:v>
      </x:c>
      <x:c r="F137" s="13" t="str">
        <x:v>(PETG)</x:v>
      </x:c>
      <x:c r="G137" s="13" t="str">
        <x:v>Discarded PET does not become PETG merely by extrusion. Material properties and contamination matter to functional parts.</x:v>
      </x:c>
      <x:c r="H137" s="13" t="str">
        <x:v>Name the actual polymer and process. Limit examples to suitable tested uses; avoid implying that any recycled plastic can make reliable valves or seals.</x:v>
      </x:c>
      <x:c r="I137" s="13" t="str">
        <x:v>Use the specific edit instruction; no substitute prose proposed.</x:v>
      </x:c>
      <x:c r="J137" s="13" t="str">
        <x:v>Repair and reuse through fabrication.</x:v>
      </x:c>
      <x:c r="K137" s="13" t="str">
        <x:v>238–240</x:v>
      </x:c>
      <x:c r="L137" s="13" t="str">
        <x:v>Feedstock, output material and claimed part suitability are technically consistent.</x:v>
      </x:c>
      <x:c r="M137" s="13" t="str">
        <x:v>Original text verified; editorial diagnosis. Research references: no external source needed for this textual comparison.</x:v>
      </x:c>
      <x:c r="N137" s="14" t="str">
        <x:v>Unreviewed</x:v>
      </x:c>
      <x:c r="O137" s="14"/>
      <x:c r="P137" s="52" t="str">
        <x:v>Refocus on mission</x:v>
      </x:c>
      <x:c r="Q137" s="52" t="str">
        <x:v>Author/editor: bounded task chain. Waste services and specialists: handling standards and facilities.</x:v>
      </x:c>
    </x:row>
    <x:row r="138" ht="99" customHeight="1">
      <x:c r="A138" s="13" t="str">
        <x:v>P087</x:v>
      </x:c>
      <x:c r="B138" s="13" t="str">
        <x:v>E29</x:v>
      </x:c>
      <x:c r="C138" s="15" t="n">
        <x:v>1</x:v>
      </x:c>
      <x:c r="D138" s="31" t="n">
        <x:v>237</x:v>
      </x:c>
      <x:c r="E138" s="30" t="str">
        <x:v>Alternative-fuel conversions are treated as universally easy</x:v>
      </x:c>
      <x:c r="F138" s="13" t="str">
        <x:v>wood gas</x:v>
      </x:c>
      <x:c r="G138" s="13" t="str">
        <x:v>The named engines, fuels and conversion requirements are not interchangeable. A generic tractor analogy does not supply a validated conversion.</x:v>
      </x:c>
      <x:c r="H138" s="13" t="str">
        <x:v>Separate available equipment from experimental adaptations. Cite a specific compatible design if retaining an example and include continuing maintenance/fuel inputs.</x:v>
      </x:c>
      <x:c r="I138" s="13" t="str">
        <x:v>Use the specific edit instruction; no substitute prose proposed.</x:v>
      </x:c>
      <x:c r="J138" s="13" t="str">
        <x:v>A shared multi-tool platform.</x:v>
      </x:c>
      <x:c r="K138" s="13" t="str">
        <x:v>134, 170–171, 240</x:v>
      </x:c>
      <x:c r="L138" s="13" t="str">
        <x:v>No reader is directed to an unspecified fuel conversion.</x:v>
      </x:c>
      <x:c r="M138" s="13" t="str">
        <x:v>Original text verified; editorial diagnosis. Research references: no external source needed for this textual comparison.</x:v>
      </x:c>
      <x:c r="N138" s="14" t="str">
        <x:v>Unreviewed</x:v>
      </x:c>
      <x:c r="O138" s="14"/>
      <x:c r="P138" s="52" t="str">
        <x:v>Refocus on mission</x:v>
      </x:c>
      <x:c r="Q138" s="52" t="str">
        <x:v>Author/editor: bounded task chain. Waste services and specialists: handling standards and facilities.</x:v>
      </x:c>
    </x:row>
    <x:row r="139" ht="99" customHeight="1">
      <x:c r="A139" s="13" t="str">
        <x:v>P088</x:v>
      </x:c>
      <x:c r="B139" s="13" t="str">
        <x:v>E23</x:v>
      </x:c>
      <x:c r="C139" s="15" t="n">
        <x:v>1</x:v>
      </x:c>
      <x:c r="D139" s="31" t="n">
        <x:v>238</x:v>
      </x:c>
      <x:c r="E139" s="30" t="str">
        <x:v>A homemade shield is given an absolute protection claim</x:v>
      </x:c>
      <x:c r="F139" s="13" t="str">
        <x:v>completely impenetrable</x:v>
      </x:c>
      <x:c r="G139" s="13" t="str">
        <x:v>Shielding depends on frequency, seams, openings and the threat. A construction sketch is not test evidence for every high-voltage event.</x:v>
      </x:c>
      <x:c r="H139" s="13" t="str">
        <x:v>Remove complete-protection claims and unsupported construction directions. A short shielding concept may remain, separate from any claim of demonstrated security.</x:v>
      </x:c>
      <x:c r="I139" s="13" t="str">
        <x:v>Use the specific edit instruction; no substitute prose proposed.</x:v>
      </x:c>
      <x:c r="J139" s="13" t="str">
        <x:v>Keeping spares and reducing avoidable exposure.</x:v>
      </x:c>
      <x:c r="K139" s="13" t="str">
        <x:v>161, 237</x:v>
      </x:c>
      <x:c r="L139" s="13" t="str">
        <x:v>The text does not present the enclosure as a validated defense.</x:v>
      </x:c>
      <x:c r="M139" s="13" t="str">
        <x:v>Original text verified; editorial diagnosis. Research references: no external source needed for this textual comparison.</x:v>
      </x:c>
      <x:c r="N139" s="14" t="str">
        <x:v>Unreviewed</x:v>
      </x:c>
      <x:c r="O139" s="14"/>
      <x:c r="P139" s="52" t="str">
        <x:v>Convert prescription to concept</x:v>
      </x:c>
      <x:c r="Q139" s="52" t="str">
        <x:v>Author/editor: bounded principles. Relevant engineers/operators: implementation.</x:v>
      </x:c>
    </x:row>
    <x:row r="140" ht="99" customHeight="1">
      <x:c r="A140" s="13" t="str">
        <x:v>P089</x:v>
      </x:c>
      <x:c r="B140" s="13" t="str">
        <x:v>E29</x:v>
      </x:c>
      <x:c r="C140" s="15" t="n">
        <x:v>1</x:v>
      </x:c>
      <x:c r="D140" s="31" t="n">
        <x:v>240</x:v>
      </x:c>
      <x:c r="E140" s="30" t="str">
        <x:v>The graphic contradicts the maker’s honest prototype caveats</x:v>
      </x:c>
      <x:c r="F140" s="13" t="str">
        <x:v>the loop is closed</x:v>
      </x:c>
      <x:c r="G140" s="13" t="str">
        <x:v>Page 238 describes an unfinished project producing roughly eight grams a week; the graphic declares the final bought input gone and implies a complete feed supply.</x:v>
      </x:c>
      <x:c r="H140" s="13" t="str">
        <x:v>Name the remaining material and energy inputs. Keep resource-conversion ideas as experiments, and separate them from ordinary litter collection and established disposal services.</x:v>
      </x:c>
      <x:c r="I140" s="13" t="str">
        <x:v>Use the specific edit instruction; no substitute prose proposed.</x:v>
      </x:c>
      <x:c r="J140" s="13" t="str">
        <x:v>Learning in public and openly reporting limitations.</x:v>
      </x:c>
      <x:c r="K140" s="13" t="str">
        <x:v>238–240; caption and alt text</x:v>
      </x:c>
      <x:c r="L140" s="13" t="str">
        <x:v>The book does not claim a closed food/material loop or make algae production a prerequisite to cleanup.</x:v>
      </x:c>
      <x:c r="M140" s="13" t="str">
        <x:v>Original text verified; editorial diagnosis. Research references: no external source needed for this textual comparison.</x:v>
      </x:c>
      <x:c r="N140" s="14" t="str">
        <x:v>Unreviewed</x:v>
      </x:c>
      <x:c r="O140" s="14"/>
      <x:c r="P140" s="52" t="str">
        <x:v>Refocus on mission</x:v>
      </x:c>
      <x:c r="Q140" s="52" t="str">
        <x:v>Author/editor: bounded task chain. Waste services and specialists: handling standards and facilities.</x:v>
      </x:c>
    </x:row>
    <x:row r="141" ht="99" customHeight="1">
      <x:c r="A141" s="13" t="str">
        <x:v>P090</x:v>
      </x:c>
      <x:c r="B141" s="13" t="str">
        <x:v>E41</x:v>
      </x:c>
      <x:c r="C141" s="15" t="n">
        <x:v>1</x:v>
      </x:c>
      <x:c r="D141" s="31" t="n">
        <x:v>240</x:v>
      </x:c>
      <x:c r="E141" s="30" t="str">
        <x:v>A maker profile carries several independent performance claims</x:v>
      </x:c>
      <x:c r="F141" s="13" t="str">
        <x:v>ninety percent less water</x:v>
      </x:c>
      <x:c r="G141" s="13" t="str">
        <x:v>Water savings, food yield, deployment locations and a quotation need their own provenance; a compelling profile does not establish general effectiveness.</x:v>
      </x:c>
      <x:c r="H141" s="13" t="str">
        <x:v>Bound material and manufacturing claims by actual evidence; if a tool is speculative, say so. Use task selection, maintenance and shared access to decide relevance to food, land care or cleanup.</x:v>
      </x:c>
      <x:c r="I141" s="13" t="str">
        <x:v>Use the specific edit instruction; no substitute prose proposed.</x:v>
      </x:c>
      <x:c r="J141" s="13" t="str">
        <x:v>A constructive example of tools serving mutual aid.</x:v>
      </x:c>
      <x:c r="K141" s="13" t="str">
        <x:v>238–240; Appendix B</x:v>
      </x:c>
      <x:c r="L141" s="13" t="str">
        <x:v>A maker-space possibility is not presented as demonstrated production capacity or universal self-sufficiency.</x:v>
      </x:c>
      <x:c r="M141" s="13" t="str">
        <x:v>These specific maker claims were not independently verified in this review. Treat as an open source-check task.</x:v>
      </x:c>
      <x:c r="N141" s="14" t="str">
        <x:v>Unreviewed</x:v>
      </x:c>
      <x:c r="O141" s="14"/>
      <x:c r="P141" s="52" t="str">
        <x:v>Retain correction</x:v>
      </x:c>
      <x:c r="Q141" s="52" t="str">
        <x:v>Author/editor: dated source matching; no requirement to reproduce every frontier system.</x:v>
      </x:c>
    </x:row>
    <x:row r="142" ht="99" customHeight="1">
      <x:c r="A142" s="13" t="str">
        <x:v>P136</x:v>
      </x:c>
      <x:c r="B142" s="13" t="str">
        <x:v>E35</x:v>
      </x:c>
      <x:c r="C142" s="15" t="n">
        <x:v>1</x:v>
      </x:c>
      <x:c r="D142" s="31" t="n">
        <x:v>241</x:v>
      </x:c>
      <x:c r="E142" s="30" t="str">
        <x:v>A tool catalog is a model of curation, not total independence</x:v>
      </x:c>
      <x:c r="F142" s="13" t="str">
        <x:v>Precedent P-21: Access to Tools (Menlo Park, 1968)</x:v>
      </x:c>
      <x:c r="G142" s="13" t="str">
        <x:v>Access to information and tools still relied on makers, vendors, institutions and ongoing supply.</x:v>
      </x:c>
      <x:c r="H142" s="13" t="str">
        <x:v>Emphasize evaluation and access. Avoid claiming direct sale of all featured items or sole parentage of movements. Useful practical ancestor for the book. Make the modern takeaway no broader than the documented mechanism.</x:v>
      </x:c>
      <x:c r="I142" s="13" t="str">
        <x:v>Use the specific edit instruction; no substitute prose proposed.</x:v>
      </x:c>
      <x:c r="J142" s="13" t="str">
        <x:v>Practical discovery and learning by doing.</x:v>
      </x:c>
      <x:c r="K142" s="13" t="str">
        <x:v>P-21; Appendix D; associated chapter practice</x:v>
      </x:c>
      <x:c r="L142" s="13" t="str">
        <x:v>The case supports a network of useful knowledge, not an isolated household making everything.</x:v>
      </x:c>
      <x:c r="M142" s="13" t="str">
        <x:v>Selected core claim only; other details remain open. See earlier historical review; https://wholeearth.info/p/whole-earth-catalog-fall-1968; https://news.stanford.edu/stories/2005/06/youve-got-find-love-jobs-says</x:v>
      </x:c>
      <x:c r="N142" s="14" t="str">
        <x:v>Unreviewed</x:v>
      </x:c>
      <x:c r="O142" s="14"/>
      <x:c r="P142" s="52" t="str">
        <x:v>Retain correction</x:v>
      </x:c>
      <x:c r="Q142" s="52" t="str">
        <x:v>Author/editor: sourced, limited historical analogies.</x:v>
      </x:c>
    </x:row>
    <x:row r="143" ht="99" customHeight="1">
      <x:c r="A143" s="13" t="str">
        <x:v>P108</x:v>
      </x:c>
      <x:c r="B143" s="13" t="str">
        <x:v>E40</x:v>
      </x:c>
      <x:c r="C143" s="15" t="n">
        <x:v>1</x:v>
      </x:c>
      <x:c r="D143" s="31" t="n">
        <x:v>245</x:v>
      </x:c>
      <x:c r="E143" s="30" t="str">
        <x:v>The succession plan leaves a two-year capability gap</x:v>
      </x:c>
      <x:c r="F143" s="13" t="str">
        <x:v>Apprenticeship’s four years</x:v>
      </x:c>
      <x:c r="G143" s="13" t="str">
        <x:v>Marta has perhaps two years of overhead welding left, while the identified replacement pathway takes four. Starting Monday is good but not a complete handoff.</x:v>
      </x:c>
      <x:c r="H143" s="13" t="str">
        <x:v>Keep the succession gap as a real constraint. Supply a believable fictional interim partner or make the unresolved need explicit, without requiring a full training institution in the book.</x:v>
      </x:c>
      <x:c r="I143" s="13" t="str">
        <x:v>Use the specific edit instruction; no substitute prose proposed.</x:v>
      </x:c>
      <x:c r="J143" s="13" t="str">
        <x:v>Marta naming a real limit and Tyler beginning to learn.</x:v>
      </x:c>
      <x:c r="K143" s="13" t="str">
        <x:v>244–245; tools and construction chapters</x:v>
      </x:c>
      <x:c r="L143" s="13" t="str">
        <x:v>The calendar does not treat a four-year apprenticeship as automatically solving a two-year deadline.</x:v>
      </x:c>
      <x:c r="M143" s="13" t="str">
        <x:v>Original text verified; editorial diagnosis. Research references: H05</x:v>
      </x:c>
      <x:c r="N143" s="14" t="str">
        <x:v>Unreviewed</x:v>
      </x:c>
      <x:c r="O143" s="14"/>
      <x:c r="P143" s="52" t="str">
        <x:v>Refocus on mission</x:v>
      </x:c>
      <x:c r="Q143" s="52" t="str">
        <x:v>Author/editor: constructive example. Project groups and institutions: their respective followthrough.</x:v>
      </x:c>
    </x:row>
    <x:row r="144" ht="99" customHeight="1">
      <x:c r="A144" s="13" t="str">
        <x:v>P109</x:v>
      </x:c>
      <x:c r="B144" s="13" t="str">
        <x:v>E40</x:v>
      </x:c>
      <x:c r="C144" s="15" t="n">
        <x:v>1</x:v>
      </x:c>
      <x:c r="D144" s="31" t="n">
        <x:v>245</x:v>
      </x:c>
      <x:c r="E144" s="30" t="str">
        <x:v>The exposition mocks the premortem the scene just vindicated</x:v>
      </x:c>
      <x:c r="F144" s="13" t="str">
        <x:v>some excuse to go back to sleep</x:v>
      </x:c>
      <x:c r="G144" s="13" t="str">
        <x:v>Characters improve the plan by imagining failure; the next paragraph treats the same behavior as avoidance.</x:v>
      </x:c>
      <x:c r="H144" s="13" t="str">
        <x:v>Open the Foundations by crediting the room’s corrections. Turn the premortem into a repeatable practice with responsibilities and review dates.</x:v>
      </x:c>
      <x:c r="I144" s="13" t="str">
        <x:v>Use the specific edit instruction; no substitute prose proposed.</x:v>
      </x:c>
      <x:c r="J144" s="13" t="str">
        <x:v>Burnout, divorce, succession and founder dependence.</x:v>
      </x:c>
      <x:c r="K144" s="13" t="str">
        <x:v>243–248; A08</x:v>
      </x:c>
      <x:c r="L144" s="13" t="str">
        <x:v>The reader is invited to discover a real flaw and change the plan.</x:v>
      </x:c>
      <x:c r="M144" s="13" t="str">
        <x:v>Original text verified; editorial diagnosis. Research references: H05</x:v>
      </x:c>
      <x:c r="N144" s="14" t="str">
        <x:v>Unreviewed</x:v>
      </x:c>
      <x:c r="O144" s="14"/>
      <x:c r="P144" s="52" t="str">
        <x:v>Refocus on mission</x:v>
      </x:c>
      <x:c r="Q144" s="52" t="str">
        <x:v>Author/editor: constructive example. Project groups and institutions: their respective followthrough.</x:v>
      </x:c>
    </x:row>
    <x:row r="145" ht="99" customHeight="1">
      <x:c r="A145" s="13" t="str">
        <x:v>P155</x:v>
      </x:c>
      <x:c r="B145" s="13" t="str">
        <x:v>E39</x:v>
      </x:c>
      <x:c r="C145" s="15" t="n">
        <x:v>1</x:v>
      </x:c>
      <x:c r="D145" s="31" t="n">
        <x:v>246</x:v>
      </x:c>
      <x:c r="E145" s="30" t="str">
        <x:v>The risk register claims completeness it cannot establish</x:v>
      </x:c>
      <x:c r="F145" s="13" t="str">
        <x:v>exactly five things</x:v>
      </x:c>
      <x:c r="G145" s="13" t="str">
        <x:v>A list including an unknown anomaly is not a demonstrated exhaustive set. Known deployment, reliability, economic and governance constraints can change outcomes without catastrophe.</x:v>
      </x:c>
      <x:c r="H145" s="13" t="str">
        <x:v>Call these selected risks. Separate project-level gaps from institutional responsibilities and leave room for unknowns. The threat chapter and premortem should help identify partners, not assign every solution to a reader.</x:v>
      </x:c>
      <x:c r="I145" s="13" t="str">
        <x:v>Use the specific edit instruction; no substitute prose proposed.</x:v>
      </x:c>
      <x:c r="J145" s="13" t="str">
        <x:v>A bounded place for serious threats and preparation.</x:v>
      </x:c>
      <x:c r="K145" s="13" t="str">
        <x:v>65, 243–250; proposed Fear Is Not a Plan</x:v>
      </x:c>
      <x:c r="L145" s="13" t="str">
        <x:v>The risk list claims no completeness and imposes no requirement that a person solve all systemic issues before helping.</x:v>
      </x:c>
      <x:c r="M145" s="13" t="str">
        <x:v>Original text verified; editorial diagnosis. Research references: no external source needed for this textual comparison.</x:v>
      </x:c>
      <x:c r="N145" s="14" t="str">
        <x:v>Unreviewed</x:v>
      </x:c>
      <x:c r="O145" s="14"/>
      <x:c r="P145" s="52" t="str">
        <x:v>Redirect collective design</x:v>
      </x:c>
      <x:c r="Q145" s="52" t="str">
        <x:v>Author/editor: fair scope. Relevant institutions and affected public: systemic responses.</x:v>
      </x:c>
    </x:row>
    <x:row r="146" ht="99" customHeight="1">
      <x:c r="A146" s="13" t="str">
        <x:v>P110</x:v>
      </x:c>
      <x:c r="B146" s="13" t="str">
        <x:v>E40</x:v>
      </x:c>
      <x:c r="C146" s="15" t="n">
        <x:v>1</x:v>
      </x:c>
      <x:c r="D146" s="31" t="n">
        <x:v>247</x:v>
      </x:c>
      <x:c r="E146" s="30" t="str">
        <x:v>Resilience is narrowed to a single universal architecture</x:v>
      </x:c>
      <x:c r="F146" s="13" t="str">
        <x:v>the only viable solution</x:v>
      </x:c>
      <x:c r="G146" s="13" t="str">
        <x:v>Local provision is valuable, but dense cities, specialized medicine and scarce industrial inputs require different scales of cooperation.</x:v>
      </x:c>
      <x:c r="H146" s="13" t="str">
        <x:v>Replace the only-solution claim with a local food or labor contribution and its dependencies. Recognize useful regional, public and other organizational support.</x:v>
      </x:c>
      <x:c r="I146" s="13" t="str">
        <x:v>Treatment recommendation: Replace the only-solution claim with a local food or labor contribution and its dependencies. Recognize useful regional, public and other organizational support.</x:v>
      </x:c>
      <x:c r="J146" s="13" t="str">
        <x:v>An adequate level of care as the success criterion.</x:v>
      </x:c>
      <x:c r="K146" s="13" t="str">
        <x:v>124–125, 134, 200, 248</x:v>
      </x:c>
      <x:c r="L146" s="13" t="str">
        <x:v>The text does not require every community to become an autonomous replacement for all institutions.</x:v>
      </x:c>
      <x:c r="M146" s="13" t="str">
        <x:v>Original text verified; editorial diagnosis. Research references: H05</x:v>
      </x:c>
      <x:c r="N146" s="14" t="str">
        <x:v>Unreviewed</x:v>
      </x:c>
      <x:c r="O146" s="14"/>
      <x:c r="P146" s="52" t="str">
        <x:v>Refocus on mission</x:v>
      </x:c>
      <x:c r="Q146" s="52" t="str">
        <x:v>Author/editor: constructive example. Project groups and institutions: their respective followthrough.</x:v>
      </x:c>
    </x:row>
    <x:row r="147" ht="99" customHeight="1">
      <x:c r="A147" s="13" t="str">
        <x:v>P111</x:v>
      </x:c>
      <x:c r="B147" s="13" t="str">
        <x:v>E40</x:v>
      </x:c>
      <x:c r="C147" s="15" t="n">
        <x:v>1</x:v>
      </x:c>
      <x:c r="D147" s="31" t="n">
        <x:v>248</x:v>
      </x:c>
      <x:c r="E147" s="30" t="str">
        <x:v>A collective capacity gap is delivered as a personal indictment</x:v>
      </x:c>
      <x:c r="F147" s="13" t="str">
        <x:v>you are failing</x:v>
      </x:c>
      <x:c r="G147" s="13" t="str">
        <x:v>Readers cannot individually create a local medicine industry or regional food system. Shame undermines the practical optimism promised.</x:v>
      </x:c>
      <x:c r="H147" s="13" t="str">
        <x:v>Replace personal failure with a gap the group can name and seek help addressing. Use the food-first sequence to choose a bounded next task.</x:v>
      </x:c>
      <x:c r="I147" s="13" t="str">
        <x:v>Treatment recommendation: Replace personal failure with a gap the group can name and seek help addressing. Use the food-first sequence to choose a bounded next task.</x:v>
      </x:c>
      <x:c r="J147" s="13" t="str">
        <x:v>Measuring care rather than celebrating technology for its own sake.</x:v>
      </x:c>
      <x:c r="K147" s="13" t="str">
        <x:v>109, 141, conclusion; A06</x:v>
      </x:c>
      <x:c r="L147" s="13" t="str">
        <x:v>Readers can participate without already possessing comprehensive food, shelter, care, security and governance systems.</x:v>
      </x:c>
      <x:c r="M147" s="13" t="str">
        <x:v>Original text verified; editorial diagnosis. Research references: H05</x:v>
      </x:c>
      <x:c r="N147" s="14" t="str">
        <x:v>Unreviewed</x:v>
      </x:c>
      <x:c r="O147" s="14"/>
      <x:c r="P147" s="52" t="str">
        <x:v>Refocus on mission</x:v>
      </x:c>
      <x:c r="Q147" s="52" t="str">
        <x:v>Author/editor: constructive example. Project groups and institutions: their respective followthrough.</x:v>
      </x:c>
    </x:row>
    <x:row r="148" ht="99" customHeight="1">
      <x:c r="A148" s="13" t="str">
        <x:v>P137</x:v>
      </x:c>
      <x:c r="B148" s="13" t="str">
        <x:v>E35</x:v>
      </x:c>
      <x:c r="C148" s="15" t="n">
        <x:v>1</x:v>
      </x:c>
      <x:c r="D148" s="31" t="n">
        <x:v>249</x:v>
      </x:c>
      <x:c r="E148" s="30" t="str">
        <x:v>Y2K’s outcome cannot be used to erase the work that changed it</x:v>
      </x:c>
      <x:c r="F148" s="13" t="str">
        <x:v>Precedent P-22: The Apocalypse That Ran On Time (1999)</x:v>
      </x:c>
      <x:c r="G148" s="13" t="str">
        <x:v>Successful preparation can reduce a risk and make the original warning look exaggerated. The exact no-preparation counterfactual remains unknown.</x:v>
      </x:c>
      <x:c r="H148" s="13" t="str">
        <x:v>Preserve the role of coordinated work and uncertainty about the counterfactual. Verify spending estimates and remove unsupported superlatives. Connect to useful threat assessment. Make the modern takeaway no broader than the documented mechanism.</x:v>
      </x:c>
      <x:c r="I148" s="13" t="str">
        <x:v>Use the specific edit instruction; no substitute prose proposed.</x:v>
      </x:c>
      <x:c r="J148" s="13" t="str">
        <x:v>Maintenance, coordination and prevention can work.</x:v>
      </x:c>
      <x:c r="K148" s="13" t="str">
        <x:v>P-22; Appendix D; associated chapter practice</x:v>
      </x:c>
      <x:c r="L148" s="13" t="str">
        <x:v>The lesson rewards effective precautions and does not label all non-events false alarms.</x:v>
      </x:c>
      <x:c r="M148" s="13" t="str">
        <x:v>Selected core claim only; other details remain open. See earlier historical review; https://www.gao.gov/assets/aimd-00-290.pdf</x:v>
      </x:c>
      <x:c r="N148" s="14" t="str">
        <x:v>Unreviewed</x:v>
      </x:c>
      <x:c r="O148" s="14"/>
      <x:c r="P148" s="52" t="str">
        <x:v>Retain correction</x:v>
      </x:c>
      <x:c r="Q148" s="52" t="str">
        <x:v>Author/editor: sourced, limited historical analogies.</x:v>
      </x:c>
    </x:row>
    <x:row r="149" ht="99" customHeight="1">
      <x:c r="A149" s="13" t="str">
        <x:v>P140</x:v>
      </x:c>
      <x:c r="B149" s="13" t="str">
        <x:v>E32</x:v>
      </x:c>
      <x:c r="C149" s="15" t="n">
        <x:v>2</x:v>
      </x:c>
      <x:c r="D149" s="31" t="n">
        <x:v>252</x:v>
      </x:c>
      <x:c r="E149" s="30" t="str">
        <x:v>The weekday interval is wrong</x:v>
      </x:c>
      <x:c r="F149" s="13" t="str">
        <x:v>Sunday, three days before</x:v>
      </x:c>
      <x:c r="G149" s="13" t="str">
        <x:v>The drive is on Thursday. The preceding Sunday is four days before, not three.</x:v>
      </x:c>
      <x:c r="H149" s="13" t="str">
        <x:v>Change the interval or the travel day, then check the recurring Sunday-call motif.</x:v>
      </x:c>
      <x:c r="I149" s="13" t="str">
        <x:v>Use the specific edit instruction; no substitute prose proposed.</x:v>
      </x:c>
      <x:c r="J149" s="13" t="str">
        <x:v>His mother’s call and the return journey.</x:v>
      </x:c>
      <x:c r="K149" s="13" t="str">
        <x:v>49–50, 76, 83, 252</x:v>
      </x:c>
      <x:c r="L149" s="13" t="str">
        <x:v>Calendar arithmetic works without altering the emotional beat.</x:v>
      </x:c>
      <x:c r="M149" s="13" t="str">
        <x:v>Original text verified; editorial diagnosis. Research references: no external source needed for this textual comparison.</x:v>
      </x:c>
      <x:c r="N149" s="14" t="str">
        <x:v>Unreviewed</x:v>
      </x:c>
      <x:c r="O149" s="14"/>
      <x:c r="P149" s="52" t="str">
        <x:v>Retain correction</x:v>
      </x:c>
      <x:c r="Q149" s="52" t="str">
        <x:v>Author/editor: narrative consistency and honest unresolved constraints.</x:v>
      </x:c>
    </x:row>
    <x:row r="150" ht="99" customHeight="1">
      <x:c r="A150" s="13" t="str">
        <x:v>P141</x:v>
      </x:c>
      <x:c r="B150" s="13" t="str">
        <x:v>E32</x:v>
      </x:c>
      <x:c r="C150" s="15" t="n">
        <x:v>2</x:v>
      </x:c>
      <x:c r="D150" s="31" t="n">
        <x:v>252</x:v>
      </x:c>
      <x:c r="E150" s="30" t="str">
        <x:v>The closing elapsed time needs one master chronology</x:v>
      </x:c>
      <x:c r="F150" s="13" t="str">
        <x:v>two years and some weeks after the toast</x:v>
      </x:c>
      <x:c r="G150" s="13" t="str">
        <x:v>The toast, arrival, two winters and eleven-month references need to resolve to one sequence. Isolated fixes can shift other scenes out of order.</x:v>
      </x:c>
      <x:c r="H150" s="13" t="str">
        <x:v>Create a dated/relative scene ledger before changing this line; check all elapsed-time phrases against it.</x:v>
      </x:c>
      <x:c r="I150" s="13" t="str">
        <x:v>Use the specific edit instruction; no substitute prose proposed.</x:v>
      </x:c>
      <x:c r="J150" s="13" t="str">
        <x:v>A transformation that takes effort and seasons.</x:v>
      </x:c>
      <x:c r="K150" s="13" t="str">
        <x:v>15, 17, 76, 83, 140, 179, 219, 244–245, 252</x:v>
      </x:c>
      <x:c r="L150" s="13" t="str">
        <x:v>Every elapsed interval and season can coexist on one timeline.</x:v>
      </x:c>
      <x:c r="M150" s="13" t="str">
        <x:v>Original text verified; editorial diagnosis. Research references: no external source needed for this textual comparison.</x:v>
      </x:c>
      <x:c r="N150" s="14" t="str">
        <x:v>Unreviewed</x:v>
      </x:c>
      <x:c r="O150" s="14"/>
      <x:c r="P150" s="52" t="str">
        <x:v>Retain correction</x:v>
      </x:c>
      <x:c r="Q150" s="52" t="str">
        <x:v>Author/editor: narrative consistency and honest unresolved constraints.</x:v>
      </x:c>
    </x:row>
    <x:row r="151" ht="99" customHeight="1">
      <x:c r="A151" s="13" t="str">
        <x:v>P112</x:v>
      </x:c>
      <x:c r="B151" s="13" t="str">
        <x:v>E01</x:v>
      </x:c>
      <x:c r="C151" s="15" t="n">
        <x:v>1</x:v>
      </x:c>
      <x:c r="D151" s="31" t="n">
        <x:v>254</x:v>
      </x:c>
      <x:c r="E151" s="30" t="str">
        <x:v>The conclusion converts a personal forecast into certainty</x:v>
      </x:c>
      <x:c r="F151" s="13" t="str">
        <x:v>2027 is the year</x:v>
      </x:c>
      <x:c r="G151" s="13" t="str">
        <x:v>The author’s Thanksgiving AGI forecast is more modest than a guaranteed, irreversible RSI ignition. The closing claim must match the opening and glossary.</x:v>
      </x:c>
      <x:c r="H151" s="13" t="str">
        <x:v>Keep Thanksgiving 2027 as the author’s personal AGI forecast. Reconnect the ending to food and mutual-aid work that remains worthwhile on a different timetable.</x:v>
      </x:c>
      <x:c r="I151" s="13" t="str">
        <x:v>My expected date for AGI is Thanksgiving 2027. Why that day? Because. The date is my prediction, not a timetable the universe owes me.</x:v>
      </x:c>
      <x:c r="J151" s="13" t="str">
        <x:v>Conviction, humor and urgency.</x:v>
      </x:c>
      <x:c r="K151" s="13" t="str">
        <x:v>7, 31, 277–278; A01</x:v>
      </x:c>
      <x:c r="L151" s="13" t="str">
        <x:v>The practical invitation does not depend on promised RSI or ubiquitous robots in 2027.</x:v>
      </x:c>
      <x:c r="M151" s="13" t="str">
        <x:v>Original text verified; editorial diagnosis. Research references: S02, S21</x:v>
      </x:c>
      <x:c r="N151" s="14" t="str">
        <x:v>Unreviewed</x:v>
      </x:c>
      <x:c r="O151" s="14"/>
      <x:c r="P151" s="52" t="str">
        <x:v>Retain correction</x:v>
      </x:c>
      <x:c r="Q151" s="52" t="str">
        <x:v>Author/editor: forecast language and dependent summaries.</x:v>
      </x:c>
    </x:row>
    <x:row r="152" ht="99" customHeight="1">
      <x:c r="A152" s="13" t="str">
        <x:v>P113</x:v>
      </x:c>
      <x:c r="B152" s="13" t="str">
        <x:v>E10</x:v>
      </x:c>
      <x:c r="C152" s="15" t="n">
        <x:v>1</x:v>
      </x:c>
      <x:c r="D152" s="31" t="n">
        <x:v>255</x:v>
      </x:c>
      <x:c r="E152" s="30" t="str">
        <x:v>The final instruction conflicts with talk, try, adapt</x:v>
      </x:c>
      <x:c r="F152" s="13" t="str">
        <x:v>Stop arguing. Stop waiting. Start building.</x:v>
      </x:c>
      <x:c r="G152" s="13" t="str">
        <x:v>The new reader framework begins with curious conversation; the current close can sound like an order to end discussion and accept the thesis.</x:v>
      </x:c>
      <x:c r="H152" s="13" t="str">
        <x:v>Use the talk/try/adapt invitation and include a first food or labor question people can explore together. Integrate the mission into the proposed closing draft before applying the patch.</x:v>
      </x:c>
      <x:c r="I152" s="13" t="str">
        <x:v>Use the specific edit instruction; no substitute prose proposed.</x:v>
      </x:c>
      <x:c r="J152" s="13" t="str">
        <x:v>Help everyone you can reach and build a better tomorrow.</x:v>
      </x:c>
      <x:c r="K152" s="13" t="str">
        <x:v>254–256; existing unapplied closing proposal; A08</x:v>
      </x:c>
      <x:c r="L152" s="13" t="str">
        <x:v>The closing invites criticism and curiosity without making the reader responsible for a complete social system.</x:v>
      </x:c>
      <x:c r="M152" s="13" t="str">
        <x:v>Original text verified; editorial diagnosis. Research references: no external source needed for this textual comparison.</x:v>
      </x:c>
      <x:c r="N152" s="14" t="str">
        <x:v>Unreviewed</x:v>
      </x:c>
      <x:c r="O152" s="14"/>
      <x:c r="P152" s="52" t="str">
        <x:v>Refocus on mission</x:v>
      </x:c>
      <x:c r="Q152" s="52" t="str">
        <x:v>Author/editor: revise proposal and dependent conclusion rules.</x:v>
      </x:c>
    </x:row>
    <x:row r="153" ht="99" customHeight="1">
      <x:c r="A153" s="13" t="str">
        <x:v>P138</x:v>
      </x:c>
      <x:c r="B153" s="13" t="str">
        <x:v>E35</x:v>
      </x:c>
      <x:c r="C153" s="15" t="n">
        <x:v>1</x:v>
      </x:c>
      <x:c r="D153" s="31" t="n">
        <x:v>255</x:v>
      </x:c>
      <x:c r="E153" s="30" t="str">
        <x:v>Failed internet predictions do not guarantee every future improvement</x:v>
      </x:c>
      <x:c r="F153" s="13" t="str">
        <x:v>Precedent P-23: The Passing Fad (1995 to 2000)</x:v>
      </x:c>
      <x:c r="G153" s="13" t="str">
        <x:v>Some criticisms were wrong forecasts; others may have identified costs that persisted. Selecting only failures cannot establish that tools always improve or builders always win.</x:v>
      </x:c>
      <x:c r="H153" s="13" t="str">
        <x:v>Check each quotation in its original context. Selected failed predictions do not establish that critics always underestimate progress or that every present weakness will be solved. Make the modern takeaway no broader than the documented mechanism.</x:v>
      </x:c>
      <x:c r="I153" s="13" t="str">
        <x:v>Use the specific edit instruction; no substitute prose proposed.</x:v>
      </x:c>
      <x:c r="J153" s="13" t="str">
        <x:v>Evaluate whether a problem is changing.</x:v>
      </x:c>
      <x:c r="K153" s="13" t="str">
        <x:v>P-23; Appendix D; associated chapter practice</x:v>
      </x:c>
      <x:c r="L153" s="13" t="str">
        <x:v>The exercise allows both warranted criticism and failed optimistic claims to change a plan.</x:v>
      </x:c>
      <x:c r="M153" s="13" t="str">
        <x:v>Narrative reviewed; original-source verification remains open. See earlier historical review; primary-source verification remains open.</x:v>
      </x:c>
      <x:c r="N153" s="14" t="str">
        <x:v>Unreviewed</x:v>
      </x:c>
      <x:c r="O153" s="14"/>
      <x:c r="P153" s="52" t="str">
        <x:v>Retain correction</x:v>
      </x:c>
      <x:c r="Q153" s="52" t="str">
        <x:v>Author/editor: sourced, limited historical analogies.</x:v>
      </x:c>
    </x:row>
    <x:row r="154" ht="99" customHeight="1">
      <x:c r="A154" s="13" t="str">
        <x:v>P114</x:v>
      </x:c>
      <x:c r="B154" s="13" t="str">
        <x:v>E11</x:v>
      </x:c>
      <x:c r="C154" s="15" t="n">
        <x:v>1</x:v>
      </x:c>
      <x:c r="D154" s="31" t="n">
        <x:v>256</x:v>
      </x:c>
      <x:c r="E154" s="30" t="str">
        <x:v>The adaptation rule makes ordinary evidence irrelevant</x:v>
      </x:c>
      <x:c r="F154" s="13" t="str">
        <x:v>Only limits should change your plan</x:v>
      </x:c>
      <x:c r="G154" s="13" t="str">
        <x:v>Cost, reliability, governance, access and harmful side effects can all justify changing a plan even when physics does not prohibit it.</x:v>
      </x:c>
      <x:c r="H154" s="13" t="str">
        <x:v>Broaden revision triggers to observed performance, new constraints and effects on people. Record optimistic misses alongside pessimistic misses.</x:v>
      </x:c>
      <x:c r="I154" s="13" t="str">
        <x:v>Use the specific edit instruction; no substitute prose proposed.</x:v>
      </x:c>
      <x:c r="J154" s="13" t="str">
        <x:v>Do not confuse a current limitation with a permanent one.</x:v>
      </x:c>
      <x:c r="K154" s="13" t="str">
        <x:v>56, 207–208, 244–245; A08</x:v>
      </x:c>
      <x:c r="L154" s="13" t="str">
        <x:v>The reader can name a non-physical observation that would change the plan.</x:v>
      </x:c>
      <x:c r="M154" s="13" t="str">
        <x:v>Original text verified; editorial diagnosis. Research references: no external source needed for this textual comparison.</x:v>
      </x:c>
      <x:c r="N154" s="14" t="str">
        <x:v>Unreviewed</x:v>
      </x:c>
      <x:c r="O154" s="14"/>
      <x:c r="P154" s="52" t="str">
        <x:v>Retain correction</x:v>
      </x:c>
      <x:c r="Q154" s="52" t="str">
        <x:v>Author/editor: balanced exercises; readers and partners: bounded trials.</x:v>
      </x:c>
    </x:row>
    <x:row r="155" ht="99" customHeight="1">
      <x:c r="A155" s="13" t="str">
        <x:v>P115</x:v>
      </x:c>
      <x:c r="B155" s="13" t="str">
        <x:v>E11</x:v>
      </x:c>
      <x:c r="C155" s="15" t="n">
        <x:v>1</x:v>
      </x:c>
      <x:c r="D155" s="31" t="n">
        <x:v>256</x:v>
      </x:c>
      <x:c r="E155" s="30" t="str">
        <x:v>The evidence exercise samples only one side’s mistakes</x:v>
      </x:c>
      <x:c r="F155" s="13" t="str">
        <x:v>receipts file</x:v>
      </x:c>
      <x:c r="G155" s="13" t="str">
        <x:v>Collecting only overconfident dismissals trains confirmation bias rather than adaptability.</x:v>
      </x:c>
      <x:c r="H155" s="13" t="str">
        <x:v>Log forecast, author, date, confidence, observable outcome and a review date for both optimistic and pessimistic claims, including the author’s own.</x:v>
      </x:c>
      <x:c r="I155" s="13" t="str">
        <x:v>Use the specific edit instruction; no substitute prose proposed.</x:v>
      </x:c>
      <x:c r="J155" s="13" t="str">
        <x:v>A personal evidence habit that can outlast the book.</x:v>
      </x:c>
      <x:c r="K155" s="13" t="str">
        <x:v>31, 254; A01 and A08</x:v>
      </x:c>
      <x:c r="L155" s="13" t="str">
        <x:v>The same scoring rule applies to a missed optimistic prediction and a missed pessimistic one.</x:v>
      </x:c>
      <x:c r="M155" s="13" t="str">
        <x:v>Original text verified; editorial diagnosis. Research references: no external source needed for this textual comparison.</x:v>
      </x:c>
      <x:c r="N155" s="14" t="str">
        <x:v>Unreviewed</x:v>
      </x:c>
      <x:c r="O155" s="14"/>
      <x:c r="P155" s="52" t="str">
        <x:v>Retain correction</x:v>
      </x:c>
      <x:c r="Q155" s="52" t="str">
        <x:v>Author/editor: balanced exercises; readers and partners: bounded trials.</x:v>
      </x:c>
    </x:row>
    <x:row r="156" ht="99" customHeight="1">
      <x:c r="A156" s="13" t="str">
        <x:v>P143</x:v>
      </x:c>
      <x:c r="B156" s="13" t="str">
        <x:v>E37</x:v>
      </x:c>
      <x:c r="C156" s="15" t="n">
        <x:v>2</x:v>
      </x:c>
      <x:c r="D156" s="31" t="n">
        <x:v>256</x:v>
      </x:c>
      <x:c r="E156" s="30" t="str">
        <x:v>The final ledger count contradicts the numbered cases</x:v>
      </x:c>
      <x:c r="F156" s="13" t="str">
        <x:v>twenty-two entries</x:v>
      </x:c>
      <x:c r="G156" s="13" t="str">
        <x:v>The original has P-01 through P-23, yet the close uses twenty-two entries and twenty-one prior practices.</x:v>
      </x:c>
      <x:c r="H156" s="13" t="str">
        <x:v>Compute counts from the final case list after any cuts and update all front/back references together.</x:v>
      </x:c>
      <x:c r="I156" s="13" t="str">
        <x:v>Use the specific edit instruction; no substitute prose proposed.</x:v>
      </x:c>
      <x:c r="J156" s="13" t="str">
        <x:v>A cumulative sense of what the reader has practiced.</x:v>
      </x:c>
      <x:c r="K156" s="13" t="str">
        <x:v>8, 256, 283</x:v>
      </x:c>
      <x:c r="L156" s="13" t="str">
        <x:v>All counts agree with the actual final set, including the current case.</x:v>
      </x:c>
      <x:c r="M156" s="13" t="str">
        <x:v>Original text verified; editorial diagnosis. Research references: no external source needed for this textual comparison.</x:v>
      </x:c>
      <x:c r="N156" s="14" t="str">
        <x:v>Unreviewed</x:v>
      </x:c>
      <x:c r="O156" s="14"/>
      <x:c r="P156" s="52" t="str">
        <x:v>Retain correction</x:v>
      </x:c>
      <x:c r="Q156" s="52" t="str">
        <x:v>Editor/production: counts and navigation.</x:v>
      </x:c>
    </x:row>
    <x:row r="157" ht="99" customHeight="1">
      <x:c r="A157" s="13" t="str">
        <x:v>P103</x:v>
      </x:c>
      <x:c r="B157" s="13" t="str">
        <x:v>E31</x:v>
      </x:c>
      <x:c r="C157" s="15" t="n">
        <x:v>1</x:v>
      </x:c>
      <x:c r="D157" s="31" t="n">
        <x:v>257</x:v>
      </x:c>
      <x:c r="E157" s="30" t="str">
        <x:v>The municipal appendix promises portability it has not established</x:v>
      </x:c>
      <x:c r="F157" s="13" t="str">
        <x:v>plug-and-play legal template</x:v>
      </x:c>
      <x:c r="G157" s="13" t="str">
        <x:v>A template cannot establish a municipality’s authority across jurisdictions or substitute for review of state, federal and local requirements.</x:v>
      </x:c>
      <x:c r="H157" s="13" t="str">
        <x:v>Recommend converting the appendix into a researched discussion brief. Remove the plug-and-play ordinance and overnight loophole posture; retain the food-access questions for public and specialist deliberation.</x:v>
      </x:c>
      <x:c r="I157" s="13" t="str">
        <x:v>Questions for informed public discussion: what food or labor need is unmet, what evidence would help, and which people and institutions need to take part?</x:v>
      </x:c>
      <x:c r="J157" s="13" t="str">
        <x:v>Giving readers something concrete to bring to civic discussion.</x:v>
      </x:c>
      <x:c r="K157" s="13" t="str">
        <x:v>165, 213, 258–261</x:v>
      </x:c>
      <x:c r="L157" s="13" t="str">
        <x:v>The appendix cannot be read as enacted law or a jurisdiction-ready policy, and the author need not draft one.</x:v>
      </x:c>
      <x:c r="M157" s="13" t="str">
        <x:v>Original wording verified. This review is not a legal opinion; jurisdiction and current enabling law remain unresolved. S15 supports only its stated California exemption scope.</x:v>
      </x:c>
      <x:c r="N157" s="14" t="str">
        <x:v>Unreviewed</x:v>
      </x:c>
      <x:c r="O157" s="14"/>
      <x:c r="P157" s="52" t="str">
        <x:v>Redirect collective design</x:v>
      </x:c>
      <x:c r="Q157" s="52" t="str">
        <x:v>Author/editor: form and claims. Relevant legal, food-system and public institutions with affected people: policy design.</x:v>
      </x:c>
    </x:row>
    <x:row r="158" ht="99" customHeight="1">
      <x:c r="A158" s="13" t="str">
        <x:v>P104</x:v>
      </x:c>
      <x:c r="B158" s="13" t="str">
        <x:v>E31</x:v>
      </x:c>
      <x:c r="C158" s="15" t="n">
        <x:v>1</x:v>
      </x:c>
      <x:c r="D158" s="31" t="n">
        <x:v>258</x:v>
      </x:c>
      <x:c r="E158" s="30" t="str">
        <x:v>A blanket override clause assumes authority over conflicting rules</x:v>
      </x:c>
      <x:c r="F158" s="13" t="str">
        <x:v>hereby suspended</x:v>
      </x:c>
      <x:c r="G158" s="13" t="str">
        <x:v>The draft purports to suspend any conflicting local rule without identifying hierarchy, procedure, scope or limits.</x:v>
      </x:c>
      <x:c r="H158" s="13" t="str">
        <x:v>Remove the blanket suspension or override clause from the proposed template. Explain that authority and rule changes require the relevant institutions and public process.</x:v>
      </x:c>
      <x:c r="I158" s="13" t="str">
        <x:v>Treatment recommendation: Remove the blanket suspension or override clause from the proposed template. Explain that authority and rule changes require the relevant institutions and public process.</x:v>
      </x:c>
      <x:c r="J158" s="13" t="str">
        <x:v>Identifying local barriers to useful projects.</x:v>
      </x:c>
      <x:c r="K158" s="13" t="str">
        <x:v>257, 261; municipal counsel review</x:v>
      </x:c>
      <x:c r="L158" s="13" t="str">
        <x:v>No universal power to bypass conflicting rules is asserted; no replacement legal mechanism is invented by the author.</x:v>
      </x:c>
      <x:c r="M158" s="13" t="str">
        <x:v>Original text verified; editorial diagnosis. Research references: S15</x:v>
      </x:c>
      <x:c r="N158" s="14" t="str">
        <x:v>Unreviewed</x:v>
      </x:c>
      <x:c r="O158" s="14"/>
      <x:c r="P158" s="52" t="str">
        <x:v>Redirect collective design</x:v>
      </x:c>
      <x:c r="Q158" s="52" t="str">
        <x:v>Author/editor: form and claims. Relevant legal, food-system and public institutions with affected people: policy design.</x:v>
      </x:c>
    </x:row>
    <x:row r="159" ht="99" customHeight="1">
      <x:c r="A159" s="13" t="str">
        <x:v>P105</x:v>
      </x:c>
      <x:c r="B159" s="13" t="str">
        <x:v>E31</x:v>
      </x:c>
      <x:c r="C159" s="15" t="n">
        <x:v>1</x:v>
      </x:c>
      <x:c r="D159" s="31" t="n">
        <x:v>260</x:v>
      </x:c>
      <x:c r="E159" s="30" t="str">
        <x:v>Incentives and penalties have no implementation budget</x:v>
      </x:c>
      <x:c r="F159" s="13" t="str">
        <x:v>twenty-five percent</x:v>
      </x:c>
      <x:c r="G159" s="13" t="str">
        <x:v>The utility credit and doubling fines are precise policy choices without an identified utility’s authority, cost model, handling capacity or appeal process.</x:v>
      </x:c>
      <x:c r="H159" s="13" t="str">
        <x:v>Remove fixed credits and penalties as ready-to-adopt policy. Retain the surplus-access goal and questions about workable capacity, costs and effects for appropriate organizations and public deliberation.</x:v>
      </x:c>
      <x:c r="I159" s="13" t="str">
        <x:v>Treatment recommendation: Remove fixed credits and penalties as ready-to-adopt policy. Retain the surplus-access goal and questions about workable capacity, costs and effects for appropriate organizations and public deliberation.</x:v>
      </x:c>
      <x:c r="J159" s="13" t="str">
        <x:v>Redirecting usable surplus to people who need it.</x:v>
      </x:c>
      <x:c r="K159" s="13" t="str">
        <x:v>258–260; S17 for waste-estimate scope only</x:v>
      </x:c>
      <x:c r="L159" s="13" t="str">
        <x:v>The book offers a subject for researched decision-making, not an uncosted policy it treats as operational.</x:v>
      </x:c>
      <x:c r="M159" s="13" t="str">
        <x:v>Original text verified; editorial diagnosis. Research references: S15</x:v>
      </x:c>
      <x:c r="N159" s="14" t="str">
        <x:v>Unreviewed</x:v>
      </x:c>
      <x:c r="O159" s="14"/>
      <x:c r="P159" s="52" t="str">
        <x:v>Redirect collective design</x:v>
      </x:c>
      <x:c r="Q159" s="52" t="str">
        <x:v>Author/editor: form and claims. Relevant legal, food-system and public institutions with affected people: policy design.</x:v>
      </x:c>
    </x:row>
    <x:row r="160" ht="99" customHeight="1">
      <x:c r="A160" s="13" t="str">
        <x:v>P106</x:v>
      </x:c>
      <x:c r="B160" s="13" t="str">
        <x:v>E31</x:v>
      </x:c>
      <x:c r="C160" s="15" t="n">
        <x:v>1</x:v>
      </x:c>
      <x:c r="D160" s="31" t="n">
        <x:v>260</x:v>
      </x:c>
      <x:c r="E160" s="30" t="str">
        <x:v>A policy goal is written as consequence-free contract termination</x:v>
      </x:c>
      <x:c r="F160" s="13" t="str">
        <x:v>immediately terminate all contracts</x:v>
      </x:c>
      <x:c r="G160" s="13" t="str">
        <x:v>Ending contracts can involve authority, notice, service continuity and financial obligations. The draft does not resolve those questions.</x:v>
      </x:c>
      <x:c r="H160" s="13" t="str">
        <x:v>Remove consequence-free contract termination and assumed instant savings. If retained, present procurement reform as a question for the relevant institutions to investigate.</x:v>
      </x:c>
      <x:c r="I160" s="13" t="str">
        <x:v>Treatment recommendation: Remove consequence-free contract termination and assumed instant savings. If retained, present procurement reform as a question for the relevant institutions to investigate.</x:v>
      </x:c>
      <x:c r="J160" s="13" t="str">
        <x:v>Debate over public surveillance spending and alternative priorities.</x:v>
      </x:c>
      <x:c r="K160" s="13" t="str">
        <x:v>259, 261</x:v>
      </x:c>
      <x:c r="L160" s="13" t="str">
        <x:v>The argument does not depend on unverified legal powers or savings, and no author-written termination plan is required.</x:v>
      </x:c>
      <x:c r="M160" s="13" t="str">
        <x:v>Original text verified; editorial diagnosis. Research references: S15</x:v>
      </x:c>
      <x:c r="N160" s="14" t="str">
        <x:v>Unreviewed</x:v>
      </x:c>
      <x:c r="O160" s="14"/>
      <x:c r="P160" s="52" t="str">
        <x:v>Redirect collective design</x:v>
      </x:c>
      <x:c r="Q160" s="52" t="str">
        <x:v>Author/editor: form and claims. Relevant legal, food-system and public institutions with affected people: policy design.</x:v>
      </x:c>
    </x:row>
    <x:row r="161" ht="99" customHeight="1">
      <x:c r="A161" s="13" t="str">
        <x:v>P107</x:v>
      </x:c>
      <x:c r="B161" s="13" t="str">
        <x:v>E31</x:v>
      </x:c>
      <x:c r="C161" s="15" t="n">
        <x:v>1</x:v>
      </x:c>
      <x:c r="D161" s="31" t="n">
        <x:v>261</x:v>
      </x:c>
      <x:c r="E161" s="30" t="str">
        <x:v>A non-cooperation clause implies immunity for land trusts</x:v>
      </x:c>
      <x:c r="F161" s="13" t="str">
        <x:v>Seize, tax, or foreclose</x:v>
      </x:c>
      <x:c r="G161" s="13" t="str">
        <x:v>Local policy preferences do not themselves establish immunity from taxation, foreclosure or superior legal authority.</x:v>
      </x:c>
      <x:c r="H161" s="13" t="str">
        <x:v>Remove tax-proof and seizure-proof implications. Keep the possibility of collective land arrangements without promising legal immunity; actual structures require appropriate expertise.</x:v>
      </x:c>
      <x:c r="I161" s="13" t="str">
        <x:v>Treatment recommendation: Remove tax-proof and seizure-proof implications. Keep the possibility of collective land arrangements without promising legal immunity; actual structures require appropriate expertise.</x:v>
      </x:c>
      <x:c r="J161" s="13" t="str">
        <x:v>Long-term access to land.</x:v>
      </x:c>
      <x:c r="K161" s="13" t="str">
        <x:v>165, 213, 257–261; S15</x:v>
      </x:c>
      <x:c r="L161" s="13" t="str">
        <x:v>The text makes no universal trust exemption or immunity claim.</x:v>
      </x:c>
      <x:c r="M161" s="13" t="str">
        <x:v>Original text verified; editorial diagnosis. Research references: S15</x:v>
      </x:c>
      <x:c r="N161" s="14" t="str">
        <x:v>Unreviewed</x:v>
      </x:c>
      <x:c r="O161" s="14"/>
      <x:c r="P161" s="52" t="str">
        <x:v>Redirect collective design</x:v>
      </x:c>
      <x:c r="Q161" s="52" t="str">
        <x:v>Author/editor: form and claims. Relevant legal, food-system and public institutions with affected people: policy design.</x:v>
      </x:c>
    </x:row>
    <x:row r="162" ht="99" customHeight="1">
      <x:c r="A162" s="13" t="str">
        <x:v>P145</x:v>
      </x:c>
      <x:c r="B162" s="13" t="str">
        <x:v>E38</x:v>
      </x:c>
      <x:c r="C162" s="15" t="n">
        <x:v>2</x:v>
      </x:c>
      <x:c r="D162" s="31" t="n">
        <x:v>262</x:v>
      </x:c>
      <x:c r="E162" s="30" t="str">
        <x:v>Bibliography entries need claim-level destinations</x:v>
      </x:c>
      <x:c r="F162" s="13" t="str">
        <x:v>APPENDIX B</x:v>
      </x:c>
      <x:c r="G162" s="13" t="str">
        <x:v>A long bibliography does not tell the reader which source supports a quote, number, code example or image. Existing layout also needs final proofing.</x:v>
      </x:c>
      <x:c r="H162" s="13" t="str">
        <x:v>Map each consequential claim and quotation to an exact source, date and location; check image licenses and credits separately. Repair wrapping in the generated bibliography.</x:v>
      </x:c>
      <x:c r="I162" s="13" t="str">
        <x:v>Use the specific edit instruction; no substitute prose proposed.</x:v>
      </x:c>
      <x:c r="J162" s="13" t="str">
        <x:v>A traceable source trail.</x:v>
      </x:c>
      <x:c r="K162" s="13" t="str">
        <x:v>All historical cases, technical examples and images; 262–276</x:v>
      </x:c>
      <x:c r="L162" s="13" t="str">
        <x:v>Readers can locate supporting evidence for each retained consequential claim; rights status is recorded.</x:v>
      </x:c>
      <x:c r="M162" s="13" t="str">
        <x:v>Original text verified; editorial diagnosis. Research references: no external source needed for this textual comparison.</x:v>
      </x:c>
      <x:c r="N162" s="14" t="str">
        <x:v>Unreviewed</x:v>
      </x:c>
      <x:c r="O162" s="14"/>
      <x:c r="P162" s="52" t="str">
        <x:v>Retain correction</x:v>
      </x:c>
      <x:c r="Q162" s="52" t="str">
        <x:v>Author/editor and production: evidence, citations and rights.</x:v>
      </x:c>
    </x:row>
    <x:row r="163" ht="99" customHeight="1">
      <x:c r="A163" s="13" t="str">
        <x:v>P152</x:v>
      </x:c>
      <x:c r="B163" s="13" t="str">
        <x:v>E30</x:v>
      </x:c>
      <x:c r="C163" s="15" t="n">
        <x:v>1</x:v>
      </x:c>
      <x:c r="D163" s="31" t="n">
        <x:v>286</x:v>
      </x:c>
      <x:c r="E163" s="30" t="str">
        <x:v>The appendix denies functions it later assigns to a phone</x:v>
      </x:c>
      <x:c r="F163" s="13" t="str">
        <x:v>A phone does none of these</x:v>
      </x:c>
      <x:c r="G163" s="13" t="str">
        <x:v>A prepared existing device can retain offline reference material and perform some local tasks. The later phone-pairing and Kiwix instructions undercut the absolute comparison.</x:v>
      </x:c>
      <x:c r="H163" s="13" t="str">
        <x:v>Compare devices by the needed functions and interfaces. Offer existing-phone, borrowed-device and cyberdeck paths without assuming every device meets every task.</x:v>
      </x:c>
      <x:c r="I163" s="13" t="str">
        <x:v>Use the specific edit instruction; no substitute prose proposed.</x:v>
      </x:c>
      <x:c r="J163" s="13" t="str">
        <x:v>Repairability, deliberate preparation and local access.</x:v>
      </x:c>
      <x:c r="K163" s="13" t="str">
        <x:v>287–288; S19</x:v>
      </x:c>
      <x:c r="L163" s="13" t="str">
        <x:v>The comparison allows a prepared phone to be useful while explaining the deck’s additional capabilities.</x:v>
      </x:c>
      <x:c r="M163" s="13" t="str">
        <x:v>Original text verified; editorial diagnosis. Research references: S19</x:v>
      </x:c>
      <x:c r="N163" s="14" t="str">
        <x:v>Unreviewed</x:v>
      </x:c>
      <x:c r="O163" s="14"/>
      <x:c r="P163" s="52" t="str">
        <x:v>Refocus on mission</x:v>
      </x:c>
      <x:c r="Q163" s="52" t="str">
        <x:v>Author/editor: fair capability comparison.</x:v>
      </x:c>
    </x:row>
  </x:sheetData>
  <x:conditionalFormatting sqref="C9:C163">
    <x:cfRule type="expression" dxfId="17" priority="1">
      <x:formula>C9=0</x:formula>
    </x:cfRule>
    <x:cfRule type="expression" dxfId="18" priority="2">
      <x:formula>C9=1</x:formula>
    </x:cfRule>
  </x:conditionalFormatting>
  <x:conditionalFormatting sqref="N9:N163">
    <x:cfRule type="expression" dxfId="19" priority="3">
      <x:formula>N9="Accept"</x:formula>
    </x:cfRule>
  </x:conditionalFormatting>
  <x:dataValidations count="1">
    <x:dataValidation type="list" sqref="N9:N163">
      <x:formula1>"Unreviewed,Accept,Revise,Decline"</x:formula1>
    </x:dataValidation>
  </x:dataValidations>
  <x:pageMargins left="0.7" right="0.7" top="0.75" bottom="0.75" header="0.3" footer="0.3"/>
  <x:tableParts count="1">
    <x:tablePart xmlns:r="http://schemas.openxmlformats.org/officeDocument/2006/relationships" r:id="R52e24deb115a4cf3"/>
  </x:tableParts>
</x:worksheet>
</file>

<file path=xl/worksheets/sheet6.xml><?xml version="1.0" encoding="utf-8"?>
<x:worksheet xmlns:x="http://schemas.openxmlformats.org/spreadsheetml/2006/main">
  <x:sheetPr>
    <x:tabColor rgb="FF526997"/>
  </x:sheetPr>
  <x:sheetViews>
    <x:sheetView showGridLines="0" workbookViewId="0">
      <x:pane xSplit="2" ySplit="8" topLeftCell="C9" activePane="bottomRight" state="frozen"/>
    </x:sheetView>
  </x:sheetViews>
  <x:sheetFormatPr defaultRowHeight="15"/>
  <x:cols>
    <x:col min="1" max="1" width="7.110000133514404" hidden="0" customWidth="1"/>
    <x:col min="2" max="2" width="31.670000076293945" hidden="0" customWidth="1"/>
    <x:col min="3" max="3" width="43.88999938964844" hidden="0" customWidth="1"/>
    <x:col min="4" max="4" width="22.780000686645508" hidden="0" customWidth="1"/>
    <x:col min="5" max="5" width="38.88999938964844" hidden="0" customWidth="1"/>
    <x:col min="6" max="6" width="52.779998779296875" hidden="0" customWidth="1"/>
    <x:col min="7" max="7" width="50" hidden="0" customWidth="1"/>
    <x:col min="8" max="8" width="18.889999389648438" hidden="0" customWidth="1"/>
  </x:cols>
  <x:sheetData>
    <x:row r="1" ht="18" customHeight="1">
      <x:c r="A1" s="22"/>
      <x:c r="B1" s="22"/>
      <x:c r="C1" s="22"/>
      <x:c r="D1" s="22"/>
      <x:c r="E1" s="22"/>
      <x:c r="F1" s="22"/>
      <x:c r="G1" s="22"/>
      <x:c r="H1" s="22"/>
    </x:row>
    <x:row r="2" ht="27" customHeight="1">
      <x:c r="A2" s="23" t="str">
        <x:v>Cross-chapter argument tests</x:v>
      </x:c>
      <x:c r="B2" s="22"/>
      <x:c r="C2" s="22"/>
      <x:c r="D2" s="22"/>
      <x:c r="E2" s="22"/>
      <x:c r="F2" s="22"/>
      <x:c r="G2" s="22"/>
      <x:c r="H2" s="22"/>
    </x:row>
    <x:row r="3" ht="18" customHeight="1">
      <x:c r="A3" s="24" t="str">
        <x:v>20 argument tests | T01–T12: manuscript | T13–T16: earlier author additions | T17–T20: new dependency, alternatives and jobs objections</x:v>
      </x:c>
      <x:c r="B3" s="22"/>
      <x:c r="C3" s="22"/>
      <x:c r="D3" s="22"/>
      <x:c r="E3" s="22"/>
      <x:c r="F3" s="22"/>
      <x:c r="G3" s="22"/>
      <x:c r="H3" s="22"/>
    </x:row>
    <x:row r="4" ht="18" customHeight="1">
      <x:c r="A4" s="24" t="str">
        <x:v>Counterexamples below are thought experiments used to test logic, not claims that these events have occurred.</x:v>
      </x:c>
      <x:c r="B4" s="22"/>
      <x:c r="C4" s="22"/>
      <x:c r="D4" s="22"/>
      <x:c r="E4" s="22"/>
      <x:c r="F4" s="22"/>
      <x:c r="G4" s="22"/>
      <x:c r="H4" s="22"/>
    </x:row>
    <x:row r="5" ht="18" customHeight="1">
      <x:c r="A5" s="22"/>
      <x:c r="B5" s="22"/>
      <x:c r="C5" s="22"/>
      <x:c r="D5" s="22"/>
      <x:c r="E5" s="22"/>
      <x:c r="F5" s="22"/>
      <x:c r="G5" s="22"/>
      <x:c r="H5" s="22"/>
    </x:row>
    <x:row r="6" ht="18" customHeight="1">
      <x:c r="A6" s="22" t="str">
        <x:v>Counterexamples are reasoning tests, not reported events. An accurate bounded account can leave implementation and collective decisions unresolved.</x:v>
      </x:c>
      <x:c r="B6" s="22"/>
      <x:c r="C6" s="22"/>
      <x:c r="D6" s="22"/>
      <x:c r="E6" s="22"/>
      <x:c r="F6" s="22"/>
      <x:c r="G6" s="22"/>
      <x:c r="H6" s="22"/>
    </x:row>
    <x:row r="7" ht="18" customHeight="1">
      <x:c r="A7" s="22"/>
      <x:c r="B7" s="22"/>
      <x:c r="C7" s="22"/>
      <x:c r="D7" s="22"/>
      <x:c r="E7" s="22"/>
      <x:c r="F7" s="22"/>
      <x:c r="G7" s="22"/>
      <x:c r="H7" s="22"/>
    </x:row>
    <x:row r="8" ht="31.5" customHeight="1">
      <x:c r="A8" s="50" t="str">
        <x:v>Test ID</x:v>
      </x:c>
      <x:c r="B8" s="50" t="str">
        <x:v>Argument being made</x:v>
      </x:c>
      <x:c r="C8" s="50" t="str">
        <x:v>Missing step / conflict</x:v>
      </x:c>
      <x:c r="D8" s="50" t="str">
        <x:v>Original PDF anchors or scope</x:v>
      </x:c>
      <x:c r="E8" s="50" t="str">
        <x:v>Counterexample to test</x:v>
      </x:c>
      <x:c r="F8" s="50" t="str">
        <x:v>Repair to the argument</x:v>
      </x:c>
      <x:c r="G8" s="50" t="str">
        <x:v>What should change the view or plan?</x:v>
      </x:c>
      <x:c r="H8" s="50" t="str">
        <x:v>Parent edit / author direction</x:v>
      </x:c>
    </x:row>
    <x:row r="9" ht="115.5" customHeight="1">
      <x:c r="A9" s="13" t="str">
        <x:v>T01</x:v>
      </x:c>
      <x:c r="B9" s="13" t="str">
        <x:v>AGI → RSI → inexpensive robots → broad access</x:v>
      </x:c>
      <x:c r="C9" s="13" t="str">
        <x:v>Four milestones are compressed into one date.</x:v>
      </x:c>
      <x:c r="D9" s="13" t="str">
        <x:v>7, 31, 34, 45, 254, 277–278</x:v>
      </x:c>
      <x:c r="E9" s="13" t="str">
        <x:v>A capable system arrives in 2027, but hardware and services remain expensive.</x:v>
      </x:c>
      <x:c r="F9" s="13" t="str">
        <x:v>Keep the personal date; track capability, improvement, deployment and access separately.</x:v>
      </x:c>
      <x:c r="G9" s="13" t="str">
        <x:v>A missed capability threshold or persistently narrow deployment revises the relevant forecast, not every practice.</x:v>
      </x:c>
      <x:c r="H9" s="13" t="str">
        <x:v>E01 E02 E41</x:v>
      </x:c>
    </x:row>
    <x:row r="10" ht="115.5" customHeight="1">
      <x:c r="A10" s="13" t="str">
        <x:v>T02</x:v>
      </x:c>
      <x:c r="B10" s="13" t="str">
        <x:v>Capable machines → grandma receives free help</x:v>
      </x:c>
      <x:c r="C10" s="13" t="str">
        <x:v>A capability demonstration does not fund, insure, dispatch or maintain a service.</x:v>
      </x:c>
      <x:c r="D10" s="13" t="str">
        <x:v>6, 45, 166–171</x:v>
      </x:c>
      <x:c r="E10" s="13" t="str">
        <x:v>The robot can clear a yard, but the queue has no funding or available operator.</x:v>
      </x:c>
      <x:c r="F10" s="13" t="str">
        <x:v>Use one clearly illustrative shared-service arrangement. Identify the task, actors, result and cost assumptions; leave real service organization to the relevant partners.</x:v>
      </x:c>
      <x:c r="G10" s="13" t="str">
        <x:v>A real service needs observed useful outcomes and workable provision. A forecast scene must state its assumptions rather than imply that service already exists.</x:v>
      </x:c>
      <x:c r="H10" s="13" t="str">
        <x:v>E06 E07 E17 E19</x:v>
      </x:c>
    </x:row>
    <x:row r="11" ht="115.5" customHeight="1">
      <x:c r="A11" s="13" t="str">
        <x:v>T03</x:v>
      </x:c>
      <x:c r="B11" s="13" t="str">
        <x:v>Reducing suffering → mutual aid → deprivation for noncompliance</x:v>
      </x:c>
      <x:c r="C11" s="13" t="str">
        <x:v>The proposed enforcement contradicts the book’s aim when it endorses loss of essentials; no universal survival-floor policy has been adopted by the author.</x:v>
      </x:c>
      <x:c r="D11" s="13" t="str">
        <x:v>90, 113, 170–171, 247–248</x:v>
      </x:c>
      <x:c r="E11" s="13" t="str">
        <x:v>A member becomes disabled or disputes a leader and loses access to essentials.</x:v>
      </x:c>
      <x:c r="F11" s="13" t="str">
        <x:v>Remove or recast the endorsement. Separate a prediction of continuing coercion from the contribution of more accessible labor. Leave actual allocation and protections to informed collective work.</x:v>
      </x:c>
      <x:c r="G11" s="13" t="str">
        <x:v>Check whether the book’s own recommendation expands help or justifies withdrawing necessities; disagreement about institutions need not stop a truthful capability account.</x:v>
      </x:c>
      <x:c r="H11" s="13" t="str">
        <x:v>E05 E06 E09</x:v>
      </x:c>
    </x:row>
    <x:row r="12" ht="115.5" customHeight="1">
      <x:c r="A12" s="13" t="str">
        <x:v>T04</x:v>
      </x:c>
      <x:c r="B12" s="13" t="str">
        <x:v>Greater intelligence → rational cooperation → safe departure</x:v>
      </x:c>
      <x:c r="C12" s="13" t="str">
        <x:v>Capability does not establish goals, values or the unique rational action.</x:v>
      </x:c>
      <x:c r="D12" s="13" t="str">
        <x:v>46, 48–52, 65, 278</x:v>
      </x:c>
      <x:c r="E12" s="13" t="str">
        <x:v>A highly capable system pursues an objective that conflicts with human interests.</x:v>
      </x:c>
      <x:c r="F12" s="13" t="str">
        <x:v>State mutually assured survival as a conviction and design goal; retain uncertainty and discuss mechanisms that support it.</x:v>
      </x:c>
      <x:c r="G12" s="13" t="str">
        <x:v>Evidence about actual objectives, constraints and behavior matters more than whether a scenario feels rational.</x:v>
      </x:c>
      <x:c r="H12" s="13" t="str">
        <x:v>E02 E11 E39</x:v>
      </x:c>
    </x:row>
    <x:row r="13" ht="115.5" customHeight="1">
      <x:c r="A13" s="13" t="str">
        <x:v>T05</x:v>
      </x:c>
      <x:c r="B13" s="13" t="str">
        <x:v>Lower labor cost → weaker gatekeeping</x:v>
      </x:c>
      <x:c r="C13" s="13" t="str">
        <x:v>Gatekeepers may retain ownership of land, energy, hardware, networks and permissions.</x:v>
      </x:c>
      <x:c r="D13" s="13" t="str">
        <x:v>42, 45, 79, 149–171</x:v>
      </x:c>
      <x:c r="E13" s="13" t="str">
        <x:v>Models become cheap but households cannot access safe machines or a place to use them.</x:v>
      </x:c>
      <x:c r="F13" s="13" t="str">
        <x:v>Show one route from lower task cost to expanded access, with its assumptions. Treat broader ownership and access arrangements as collective work rather than automatic outcomes.</x:v>
      </x:c>
      <x:c r="G13" s="13" t="str">
        <x:v>Observe delivered prices, access conditions and concentration, not only model benchmark gains.</x:v>
      </x:c>
      <x:c r="H13" s="13" t="str">
        <x:v>E06 E07 E18</x:v>
      </x:c>
    </x:row>
    <x:row r="14" ht="115.5" customHeight="1">
      <x:c r="A14" s="13" t="str">
        <x:v>T06</x:v>
      </x:c>
      <x:c r="B14" s="13" t="str">
        <x:v>Small familiar groups → trustworthy and fair government</x:v>
      </x:c>
      <x:c r="C14" s="13" t="str">
        <x:v>Familiarity can help cooperation without preventing exclusion, capture or abuse.</x:v>
      </x:c>
      <x:c r="D14" s="13" t="str">
        <x:v>90, 113–116, 244–245, 259</x:v>
      </x:c>
      <x:c r="E14" s="13" t="str">
        <x:v>The most connected member dominates allocation and appeals go to their friends.</x:v>
      </x:c>
      <x:c r="F14" s="13" t="str">
        <x:v>Remove automatic legitimacy and fairness claims. Name the questions technical operators cannot settle for a community; invite affected people and relevant specialists to decide together.</x:v>
      </x:c>
      <x:c r="G14" s="13" t="str">
        <x:v>Evidence about who receives help and whose voice counts should inform collective decisions. Familiarity alone does not answer the questions.</x:v>
      </x:c>
      <x:c r="H14" s="13" t="str">
        <x:v>E06 E15 E40</x:v>
      </x:c>
    </x:row>
    <x:row r="15" ht="115.5" customHeight="1">
      <x:c r="A15" s="13" t="str">
        <x:v>T07</x:v>
      </x:c>
      <x:c r="B15" s="13" t="str">
        <x:v>Local production → independence from global systems</x:v>
      </x:c>
      <x:c r="C15" s="13" t="str">
        <x:v>Shorter supply lines can still rely on distant parts, inputs and expertise.</x:v>
      </x:c>
      <x:c r="D15" s="13" t="str">
        <x:v>124, 134, 156, 200, 238–240</x:v>
      </x:c>
      <x:c r="E15" s="13" t="str">
        <x:v>A local system fails because a replacement controller or nutrient input is unavailable.</x:v>
      </x:c>
      <x:c r="F15" s="13" t="str">
        <x:v>Name the example’s remaining inputs and the disruption it can help with. A modest useful food or labor project need not be fully autonomous or independent.</x:v>
      </x:c>
      <x:c r="G15" s="13" t="str">
        <x:v>A real dependency drill or shortage changes the design even if the singularity forecast stays unchanged.</x:v>
      </x:c>
      <x:c r="H15" s="13" t="str">
        <x:v>E16 E23 E29</x:v>
      </x:c>
    </x:row>
    <x:row r="16" ht="115.5" customHeight="1">
      <x:c r="A16" s="13" t="str">
        <x:v>T08</x:v>
      </x:c>
      <x:c r="B16" s="13" t="str">
        <x:v>Historical fear recurs → present critics will be wrong</x:v>
      </x:c>
      <x:c r="C16" s="13" t="str">
        <x:v>Selection of failed pessimists confuses recognizable psychology with a law of beneficial progress.</x:v>
      </x:c>
      <x:c r="D16" s="13" t="str">
        <x:v>All P-01–P-23; 95, 174–175, 249–250, 279–283</x:v>
      </x:c>
      <x:c r="E16" s="13" t="str">
        <x:v>A warning prompts effective preparation, or a widely adopted tool creates lasting harm for a group.</x:v>
      </x:c>
      <x:c r="F16" s="13" t="str">
        <x:v>State the mechanism and disanalogy in every case. Include successful mitigation and effects on people excluded from the benefit.</x:v>
      </x:c>
      <x:c r="G16" s="13" t="str">
        <x:v>Evidence of avoided harm, unequal gains or failed optimism must count in the same historical ledger.</x:v>
      </x:c>
      <x:c r="H16" s="13" t="str">
        <x:v>E11 E35 E36</x:v>
      </x:c>
    </x:row>
    <x:row r="17" ht="115.5" customHeight="1">
      <x:c r="A17" s="13" t="str">
        <x:v>T09</x:v>
      </x:c>
      <x:c r="B17" s="13" t="str">
        <x:v>Equations and benchmarks → validated practical systems</x:v>
      </x:c>
      <x:c r="C17" s="13" t="str">
        <x:v>Correct arithmetic cannot validate omitted premises, components or a whole design.</x:v>
      </x:c>
      <x:c r="D17" s="13" t="str">
        <x:v>33–34, 112, 132–134, 155, 183–189</x:v>
      </x:c>
      <x:c r="E17" s="13" t="str">
        <x:v>The printed calculation is correct but a real system fails through a missing condition.</x:v>
      </x:c>
      <x:c r="F17" s="13" t="str">
        <x:v>Keep accurate conceptual illustrations. Remove unsupported prescriptions or rely on appropriately supported partner work if a procedure is retained. The author need not personally engineer every system.</x:v>
      </x:c>
      <x:c r="G17" s="13" t="str">
        <x:v>The practical claim must stay within its evidence. A narrower accurate explanation can be published while implementation work remains with specialists.</x:v>
      </x:c>
      <x:c r="H17" s="13" t="str">
        <x:v>E12 E15 E20 E22 E24 E27</x:v>
      </x:c>
    </x:row>
    <x:row r="18" ht="115.5" customHeight="1">
      <x:c r="A18" s="13" t="str">
        <x:v>T10</x:v>
      </x:c>
      <x:c r="B18" s="13" t="str">
        <x:v>Authentic human work → audience → dependable income</x:v>
      </x:c>
      <x:c r="C18" s="13" t="str">
        <x:v>Authenticity, algorithmic distribution, audience demand and income are separate uncertain outcomes.</x:v>
      </x:c>
      <x:c r="D18" s="13" t="str">
        <x:v>138–145, 219–225</x:v>
      </x:c>
      <x:c r="E18" s="13" t="str">
        <x:v>Useful truthful material attracts little attention or generates no income.</x:v>
      </x:c>
      <x:c r="F18" s="13" t="str">
        <x:v>Keep the narrative success as one outcome. Offer direct sharing and community value without guaranteed virality.</x:v>
      </x:c>
      <x:c r="G18" s="13" t="str">
        <x:v>Track usefulness, consent and actual returns; change the distribution plan if the platform does not deliver.</x:v>
      </x:c>
      <x:c r="H18" s="13" t="str">
        <x:v>E13 E14 E26</x:v>
      </x:c>
    </x:row>
    <x:row r="19" ht="115.5" customHeight="1">
      <x:c r="A19" s="13" t="str">
        <x:v>T11</x:v>
      </x:c>
      <x:c r="B19" s="13" t="str">
        <x:v>Personal agency → physical production → deserving assistance</x:v>
      </x:c>
      <x:c r="C19" s="13" t="str">
        <x:v>Productivity rhetoric conflicts with the purpose of reducing suffering when care needs or limited ability become disqualifications.</x:v>
      </x:c>
      <x:c r="D19" s="13" t="str">
        <x:v>109, 138, 141, 170–171, 248</x:v>
      </x:c>
      <x:c r="E19" s="13" t="str">
        <x:v>A person contributes care or needs care but cannot build, earn or perform outdoor labor.</x:v>
      </x:c>
      <x:c r="F19" s="13" t="str">
        <x:v>Offer physical, digital, planning, care and receiving-help routes. Keep the food-first program accessible without making a particular contribution a universal test of worth.</x:v>
      </x:c>
      <x:c r="G19" s="13" t="str">
        <x:v>A reader with limited money, time or mobility should still find a useful, dignified path.</x:v>
      </x:c>
      <x:c r="H19" s="13" t="str">
        <x:v>E03 E09 E10 E45</x:v>
      </x:c>
    </x:row>
    <x:row r="20" ht="115.5" customHeight="1">
      <x:c r="A20" s="13" t="str">
        <x:v>T12</x:v>
      </x:c>
      <x:c r="B20" s="13" t="str">
        <x:v>Use tools → become adaptable → follow this inevitable roadmap</x:v>
      </x:c>
      <x:c r="C20" s="13" t="str">
        <x:v>The exercises sometimes tell readers to collect only supporting evidence and dismiss ordinary reasons to change course.</x:v>
      </x:c>
      <x:c r="D20" s="13" t="str">
        <x:v>56, 108–109, 207–208, 244–246, 254–256</x:v>
      </x:c>
      <x:c r="E20" s="13" t="str">
        <x:v>A trial fails, a critic is right, or AGI arrives later than the author expects.</x:v>
      </x:c>
      <x:c r="F20" s="13" t="str">
        <x:v>Apply talk, try, adapt to the author’s plan too. Record outcomes, uncertainty and revision triggers.</x:v>
      </x:c>
      <x:c r="G20" s="13" t="str">
        <x:v>The text must identify observations that change the plan and preserve useful action when a forecast misses.</x:v>
      </x:c>
      <x:c r="H20" s="13" t="str">
        <x:v>E01 E10 E11 E40 E45</x:v>
      </x:c>
    </x:row>
    <x:row r="21" ht="115.5" customHeight="1">
      <x:c r="A21" s="54" t="str">
        <x:v>T13</x:v>
      </x:c>
      <x:c r="B21" s="54" t="str">
        <x:v>Single-use intelligence → manageable alignment</x:v>
      </x:c>
      <x:c r="C21" s="54" t="str">
        <x:v>PROPOSED ADDITION: single-use is not yet an operational definition or demonstrated solution.</x:v>
      </x:c>
      <x:c r="D21" s="54" t="str">
        <x:v>Author notes only; proposed Chapter 11 / threats discussion</x:v>
      </x:c>
      <x:c r="E21" s="54" t="str">
        <x:v>A task-limited tool still has excessive permissions, poor verification or an unsafe objective.</x:v>
      </x:c>
      <x:c r="F21" s="54" t="str">
        <x:v>Define single-use intelligence in a bounded example: task, duration, allowed actions, checking and stopping. Present reduced scope as a hypothesis; do not assign the author the whole frontier-alignment program.</x:v>
      </x:c>
      <x:c r="G21" s="54" t="str">
        <x:v>Judge observable failures and control effectiveness; do not infer safety merely from a model’s size or lifetime.</x:v>
      </x:c>
      <x:c r="H21" s="54" t="str">
        <x:v>A01 A03; E11 E39 E43</x:v>
      </x:c>
    </x:row>
    <x:row r="22" ht="115.5" customHeight="1">
      <x:c r="A22" s="54" t="str">
        <x:v>T14</x:v>
      </x:c>
      <x:c r="B22" s="54" t="str">
        <x:v>Better home robotics → home medicine → public acceptance</x:v>
      </x:c>
      <x:c r="C22" s="54" t="str">
        <x:v>PROPOSED ADDITION: assistance, diagnosis, treatment and clinical automation are different claims.</x:v>
      </x:c>
      <x:c r="D22" s="54" t="str">
        <x:v>Author notes; existing medical language at 155, 247–248, 286–288</x:v>
      </x:c>
      <x:c r="E22" s="54" t="str">
        <x:v>A device helps with routine tasks but lacks validated clinical performance, affordability or regulatory authorization.</x:v>
      </x:c>
      <x:c r="F22" s="54" t="str">
        <x:v>Keep home medicine as a later, task-specific forecast. Separate ordinary assistance from clinical performance; relevant medical and regulatory institutions carry that implementation work. Food and mutual-aid labor remain the immediate focus.</x:v>
      </x:c>
      <x:c r="G22" s="54" t="str">
        <x:v>Use validated task performance, patient outcomes, accessibility and observed acceptance, not a demonstration alone.</x:v>
      </x:c>
      <x:c r="H22" s="54" t="str">
        <x:v>E17 E22 E41; A05 A06</x:v>
      </x:c>
    </x:row>
    <x:row r="23" ht="115.5" customHeight="1">
      <x:c r="A23" s="54" t="str">
        <x:v>T15</x:v>
      </x:c>
      <x:c r="B23" s="54" t="str">
        <x:v>Current named demonstrations → near-term general domestic service</x:v>
      </x:c>
      <x:c r="C23" s="54" t="str">
        <x:v>PROPOSED ADDITION: Gen1.5 and Robot OS 2 have not been reliably identified in this review.</x:v>
      </x:c>
      <x:c r="D23" s="54" t="str">
        <x:v>Author notes only; update 6, 79 and Chapter 11 if added</x:v>
      </x:c>
      <x:c r="E23" s="54" t="str">
        <x:v>A compelling demo is teleoperated, curated, narrowly scoped or not generally available.</x:v>
      </x:c>
      <x:c r="F23" s="54" t="str">
        <x:v>Resolve exact names before inclusion and attribute the scope of any demo. The food-first case can use narrower established tasks; it need not rely on an unverified general-robotics breakthrough.</x:v>
      </x:c>
      <x:c r="G23" s="54" t="str">
        <x:v>A reproducible task in a representative home is stronger evidence than a highlight video; distinguish company claims from independent results.</x:v>
      </x:c>
      <x:c r="H23" s="54" t="str">
        <x:v>E41; A01 A05</x:v>
      </x:c>
    </x:row>
    <x:row r="24" ht="115.5" customHeight="1">
      <x:c r="A24" s="54" t="str">
        <x:v>T16</x:v>
      </x:c>
      <x:c r="B24" s="54" t="str">
        <x:v>Recurring human motives → fixed traits of whole generations</x:v>
      </x:c>
      <x:c r="C24" s="54" t="str">
        <x:v>PROPOSED ADDITION: age cohorts do not determine empathy, rigidity or adaptability.</x:v>
      </x:c>
      <x:c r="D24" s="54" t="str">
        <x:v>Author notes; related demographic table at 85</x:v>
      </x:c>
      <x:c r="E24" s="54" t="str">
        <x:v>A Gen X reader learns eagerly or a millennial resists a useful change.</x:v>
      </x:c>
      <x:c r="F24" s="54" t="str">
        <x:v>Use life experience, incentives, access and age as possible influences, allowing differences within cohorts. Verify historical technology examples before using them.</x:v>
      </x:c>
      <x:c r="G24" s="54" t="str">
        <x:v>The explanation should account for counterexamples rather than redefining them as exceptions to a universal character claim.</x:v>
      </x:c>
      <x:c r="H24" s="54" t="str">
        <x:v>E04 E35; A07 A08</x:v>
      </x:c>
    </x:row>
    <x:row r="25" ht="115.5" customHeight="1">
      <x:c r="A25" s="54" t="str">
        <x:v>T17</x:v>
      </x:c>
      <x:c r="B25" s="54" t="str">
        <x:v>Regular robotic cleanup → more littering or passivity</x:v>
      </x:c>
      <x:c r="C25" s="54" t="str">
        <x:v>PROPOSED ADDITION: both moral-hazard concerns and assurances that no one will change behavior require evidence.</x:v>
      </x:c>
      <x:c r="D25" s="54" t="str">
        <x:v>Author’s latest notes; proposed Chapter 11 passage and Chapter 17 cleanup example</x:v>
      </x:c>
      <x:c r="E25" s="54" t="str">
        <x:v>People litter more once a service appears, or a cleaner place encourages better care. Either outcome is possible.</x:v>
      </x:c>
      <x:c r="F25" s="54" t="str">
        <x:v>Acknowledge the concern; combine prevention and accessible disposal with removal. Judge whether the whole arrangement leaves less waste and improves access, not merely how much a robot picks up.</x:v>
      </x:c>
      <x:c r="G25" s="54" t="str">
        <x:v>Worse waste generation, ecological disturbance or poor net outcomes should change the arrangement; fear alone does not establish the effect.</x:v>
      </x:c>
      <x:c r="H25" s="54" t="str">
        <x:v>A11; E11 E29 E39</x:v>
      </x:c>
    </x:row>
    <x:row r="26" ht="115.5" customHeight="1">
      <x:c r="A26" s="54" t="str">
        <x:v>T18</x:v>
      </x:c>
      <x:c r="B26" s="54" t="str">
        <x:v>Machine assistance → the dependent society in WALL-E</x:v>
      </x:c>
      <x:c r="C26" s="54" t="str">
        <x:v>PROPOSED ADDITION: a fictional warning is not evidence that dependency is either inevitable or impossible.</x:v>
      </x:c>
      <x:c r="D26" s="54" t="str">
        <x:v>Author’s latest notes; proposed Chapter 11 passage</x:v>
      </x:c>
      <x:c r="E26" s="54" t="str">
        <x:v>A system removes skills and choices, or frees time for chosen activity, learning and care.</x:v>
      </x:c>
      <x:c r="F26" s="54" t="str">
        <x:v>Keep agency, skill, social participation and opportunities to move visible as goals. Receiving needed help does not make someone morally deficient.</x:v>
      </x:c>
      <x:c r="G26" s="54" t="str">
        <x:v>Observe whether people gain useful choices and capacity or lose them; acknowledge differences among users and needs.</x:v>
      </x:c>
      <x:c r="H26" s="54" t="str">
        <x:v>A11; E09 E39 E43</x:v>
      </x:c>
    </x:row>
    <x:row r="27" ht="115.5" customHeight="1">
      <x:c r="A27" s="54" t="str">
        <x:v>T19</x:v>
      </x:c>
      <x:c r="B27" s="54" t="str">
        <x:v>Existing human solutions → no useful role for robots</x:v>
      </x:c>
      <x:c r="C27" s="54" t="str">
        <x:v>PROPOSED ADDITION: knowing how to do a task differs from providing enough accessible, dependable service; this also does not prove a robot is the best answer.</x:v>
      </x:c>
      <x:c r="D27" s="54" t="str">
        <x:v>Author’s latest notes; food, land care and cleanup examples</x:v>
      </x:c>
      <x:c r="E27" s="54" t="str">
        <x:v>Better bins, a staffed service or a simple capture device outperform a robot; in another task a suitable machine reduces exposure or reaches neglected work.</x:v>
      </x:c>
      <x:c r="F27" s="54" t="str">
        <x:v>Compare feasible methods for the specific need. Use robotics when it adds demonstrated value; retain ordinary services and prevention where they work better.</x:v>
      </x:c>
      <x:c r="G27" s="54" t="str">
        <x:v>Completed useful work, total effort and cost, environmental effects and human exposure should determine the method.</x:v>
      </x:c>
      <x:c r="H27" s="54" t="str">
        <x:v>A11; E17 E29 E43</x:v>
      </x:c>
    </x:row>
    <x:row r="28" ht="115.5" customHeight="1">
      <x:c r="A28" s="54" t="str">
        <x:v>T20</x:v>
      </x:c>
      <x:c r="B28" s="54" t="str">
        <x:v>Accepted appliances → job-loss concerns are settled</x:v>
      </x:c>
      <x:c r="C28" s="54" t="str">
        <x:v>PROPOSED ADDITION: the dishwasher/laundromat analogy illustrates labor-saving, not harmless displacement or an absence of historical resistance.</x:v>
      </x:c>
      <x:c r="D28" s="54" t="str">
        <x:v>Author’s latest notes; proposed Chapter 11 passage</x:v>
      </x:c>
      <x:c r="E28" s="54" t="str">
        <x:v>A task becomes easier while a worker loses income; a hazardous job is valuable to its worker even if its exposure can be reduced.</x:v>
      </x:c>
      <x:c r="F28" s="54" t="str">
        <x:v>Keep the familiar analogy and explicitly acknowledge livelihood losses. Include workers in the institutional transition discussion; do not require the author to invent a complete employment policy.</x:v>
      </x:c>
      <x:c r="G28" s="54" t="str">
        <x:v>Judge worker outcomes and provision of useful services separately from task automation. No guarantee that new jobs automatically compensate each displaced person.</x:v>
      </x:c>
      <x:c r="H28" s="54" t="str">
        <x:v>A10 A11; E04 E35 E39</x:v>
      </x:c>
    </x:row>
  </x:sheetData>
  <x:pageMargins left="0.7" right="0.7" top="0.75" bottom="0.75" header="0.3" footer="0.3"/>
  <x:tableParts count="1">
    <x:tablePart xmlns:r="http://schemas.openxmlformats.org/officeDocument/2006/relationships" r:id="R5fdbb42915e649fb"/>
  </x:tableParts>
</x:worksheet>
</file>